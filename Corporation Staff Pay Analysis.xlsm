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.TT\Downloads\"/>
    </mc:Choice>
  </mc:AlternateContent>
  <xr:revisionPtr revIDLastSave="0" documentId="13_ncr:1_{5B720A52-2BB8-4DCC-8F8B-2D249D8782A6}" xr6:coauthVersionLast="47" xr6:coauthVersionMax="47" xr10:uidLastSave="{00000000-0000-0000-0000-000000000000}"/>
  <bookViews>
    <workbookView xWindow="-108" yWindow="-108" windowWidth="23256" windowHeight="12576" firstSheet="1" activeTab="1" xr2:uid="{4F2A80C0-AFD9-4670-AED1-2A541B2E475F}"/>
  </bookViews>
  <sheets>
    <sheet name="other" sheetId="10" state="veryHidden" r:id="rId1"/>
    <sheet name="Task 1" sheetId="1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â">other!$AZ$2</definedName>
    <definedName name="CustomVariablesStoredValue" localSheetId="0" hidden="1">#REF!</definedName>
    <definedName name="CustomVariablesStoredValue" hidden="1">#REF!</definedName>
    <definedName name="CustomVariablesValue" localSheetId="0" hidden="1">#REF!</definedName>
    <definedName name="CustomVariablesValue" hidden="1">#REF!</definedName>
    <definedName name="daytimestaff">'Task 1'!$A$10:$B$16</definedName>
    <definedName name="df">#REF!,#REF!</definedName>
    <definedName name="df_2" localSheetId="0" hidden="1">'[1]Count, ReDim, Transpose'!$H$24,'[1]Count, ReDim, Transpose'!$C$25:$F$27,'[1]Count, ReDim, Transpose'!$B$35:$Q$40,'[1]Count, ReDim, Transpose'!$B$44:$P$49,'[1]Count, ReDim, Transpose'!$B$70:$L$76,'[1]Count, ReDim, Transpose'!$B$80:$L$86</definedName>
    <definedName name="df_2" hidden="1">'[2]Count, ReDim, Transpose'!$H$24,'[2]Count, ReDim, Transpose'!$C$25:$F$27,'[2]Count, ReDim, Transpose'!$B$35:$Q$40,'[2]Count, ReDim, Transpose'!$B$44:$P$49,'[2]Count, ReDim, Transpose'!$B$70:$L$76,'[2]Count, ReDim, Transpose'!$B$80:$L$86</definedName>
    <definedName name="df_3" localSheetId="0" hidden="1">'[1]Matrix Multiplication'!$O$11,'[1]Matrix Multiplication'!$G$6:$P$8,'[1]Matrix Multiplication'!$H$13:$Q$17</definedName>
    <definedName name="df_3" hidden="1">'[2]Matrix Multiplication'!$O$11,'[2]Matrix Multiplication'!$G$6:$P$8,'[2]Matrix Multiplication'!$H$13:$Q$17</definedName>
    <definedName name="è">other!$DI$40</definedName>
    <definedName name="eveningstaff">'Task 1'!$A$27:$B$34</definedName>
    <definedName name="î">other!$BZ$4</definedName>
    <definedName name="MatrixA" localSheetId="0" hidden="1">#REF!</definedName>
    <definedName name="MatrixA" hidden="1">#REF!</definedName>
    <definedName name="MatrixB" localSheetId="0" hidden="1">#REF!</definedName>
    <definedName name="MatrixB" hidden="1">#REF!</definedName>
    <definedName name="ö">other!$CZ$10</definedName>
    <definedName name="Portfolio_Mean1" localSheetId="0" hidden="1">'[3]Set 1 - Task 3'!$C$19</definedName>
    <definedName name="Portfolio_Mean1" hidden="1">'[4]Set 1 - Task 3'!$C$19</definedName>
    <definedName name="Portfolio_Mean2" localSheetId="0" hidden="1">'[3]Set 2 - Task 3'!$C$19</definedName>
    <definedName name="Portfolio_Mean2" hidden="1">'[4]Set 2 - Task 3'!$C$19</definedName>
    <definedName name="Portfolio_Mean3" localSheetId="0" hidden="1">'[3]Set 3 - Task 3'!$C$19</definedName>
    <definedName name="Portfolio_Mean3" hidden="1">'[4]Set 3 - Task 3'!$C$19</definedName>
    <definedName name="Range1">other!$BA$2</definedName>
    <definedName name="Range2">other!$BD$4</definedName>
    <definedName name="Range3">other!$CQ$10</definedName>
    <definedName name="Range4">other!$DE$40</definedName>
    <definedName name="Stock_Data">#REF!</definedName>
    <definedName name="Stock_Data1" localSheetId="0" hidden="1">'[1]Columns, Average, StDev'!$B$15:$G$25</definedName>
    <definedName name="Stock_Data1" hidden="1">'[2]Columns, Average, StDev'!$B$15:$G$25</definedName>
    <definedName name="Stock_Data2" localSheetId="0" hidden="1">'[1]Columns, Average, StDev'!$B$45:$H$56</definedName>
    <definedName name="Stock_Data2" hidden="1">'[2]Columns, Average, StDev'!$B$45:$H$56</definedName>
    <definedName name="Stock_Date">#REF!</definedName>
    <definedName name="Stock_Date1" localSheetId="0" hidden="1">'[1]Columns, Average, StDev'!$A$16:$A$25</definedName>
    <definedName name="Stock_Date1" hidden="1">'[2]Columns, Average, StDev'!$A$16:$A$25</definedName>
    <definedName name="Stock_Date2" localSheetId="0" hidden="1">'[1]Columns, Average, StDev'!$A$46:$A$56</definedName>
    <definedName name="Stock_Date2" hidden="1">'[2]Columns, Average, StDev'!$A$46:$A$56</definedName>
    <definedName name="Stock_Dates" localSheetId="0" hidden="1">[5]VarCov!$B$6:$B$15</definedName>
    <definedName name="Stock_Dates" hidden="1">[6]VarCov!$B$6:$B$15</definedName>
    <definedName name="Stock_Info" localSheetId="0" hidden="1">'[1]Columns, Average, StDev'!$C$27:$D$32</definedName>
    <definedName name="Stock_Info" hidden="1">'[2]Columns, Average, StDev'!$C$27:$D$32</definedName>
    <definedName name="Stock_Name" localSheetId="0" hidden="1">[5]VarCov!$C$5:$H$5</definedName>
    <definedName name="Stock_Name" hidden="1">[6]VarCov!$C$5:$H$5</definedName>
    <definedName name="Stock1" localSheetId="0" hidden="1">'[7]Set 1 - Task 1'!$D$5</definedName>
    <definedName name="Stock1" hidden="1">'[8]Set 1 - Task 1'!$D$5</definedName>
    <definedName name="Stock1_Data" localSheetId="0" hidden="1">'[3]Set 1 - Task 1'!$C$6:$C$15</definedName>
    <definedName name="Stock1_Data" hidden="1">'[4]Set 1 - Task 1'!$C$6:$C$15</definedName>
    <definedName name="Stock1_Proportion" localSheetId="0" hidden="1">'[3]Set 1 - Task 3'!$C$14</definedName>
    <definedName name="Stock1_Proportion" hidden="1">'[4]Set 1 - Task 3'!$C$14</definedName>
    <definedName name="Stock2" localSheetId="0" hidden="1">'[7]Set 1 - Task 1'!$E$5</definedName>
    <definedName name="Stock2" hidden="1">'[8]Set 1 - Task 1'!$E$5</definedName>
    <definedName name="Stock2_Data" localSheetId="0" hidden="1">'[3]Set 1 - Task 1'!$D$6:$D$15</definedName>
    <definedName name="Stock2_Data" hidden="1">'[4]Set 1 - Task 1'!$D$6:$D$15</definedName>
    <definedName name="Stock3" localSheetId="0" hidden="1">'[7]Set 2 - Task 1'!$D$5</definedName>
    <definedName name="Stock3" hidden="1">'[8]Set 2 - Task 1'!$D$5</definedName>
    <definedName name="Stock3_Data" localSheetId="0" hidden="1">'[3]Set 2 - Task 1'!$C$6:$C$15</definedName>
    <definedName name="Stock3_Data" hidden="1">'[4]Set 2 - Task 1'!$C$6:$C$15</definedName>
    <definedName name="Stock3_Proportion" localSheetId="0" hidden="1">'[3]Set 2 - Task 3'!$C$14</definedName>
    <definedName name="Stock3_Proportion" hidden="1">'[4]Set 2 - Task 3'!$C$14</definedName>
    <definedName name="Stock4" localSheetId="0" hidden="1">'[7]Set 2 - Task 1'!$E$5</definedName>
    <definedName name="Stock4" hidden="1">'[8]Set 2 - Task 1'!$E$5</definedName>
    <definedName name="Stock4_Data" localSheetId="0" hidden="1">'[3]Set 2 - Task 1'!$D$6:$D$15</definedName>
    <definedName name="Stock4_Data" hidden="1">'[4]Set 2 - Task 1'!$D$6:$D$15</definedName>
    <definedName name="Stock5" localSheetId="0" hidden="1">'[7]Set 3 - Task 1'!$D$5</definedName>
    <definedName name="Stock5" hidden="1">'[8]Set 3 - Task 1'!$D$5</definedName>
    <definedName name="Stock5_Data" localSheetId="0" hidden="1">'[3]Set 3 - Task 1'!$C$6:$C$15</definedName>
    <definedName name="Stock5_Data" hidden="1">'[4]Set 3 - Task 1'!$C$6:$C$15</definedName>
    <definedName name="Stock5_Proportion" localSheetId="0" hidden="1">'[3]Set 3 - Task 3'!$C$14</definedName>
    <definedName name="Stock5_Proportion" hidden="1">'[4]Set 3 - Task 3'!$C$14</definedName>
    <definedName name="Stock6" localSheetId="0" hidden="1">'[7]Set 3 - Task 1'!$E$5</definedName>
    <definedName name="Stock6" hidden="1">'[8]Set 3 - Task 1'!$E$5</definedName>
    <definedName name="Stock6_Data" localSheetId="0" hidden="1">'[3]Set 3 - Task 1'!$D$6:$D$15</definedName>
    <definedName name="Stock6_Data" hidden="1">'[4]Set 3 - Task 1'!$D$6:$D$15</definedName>
    <definedName name="times">'Task 1'!$A$43:$F$329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7" i="1" l="1" a="1"/>
  <c r="C10" i="1" a="1"/>
  <c r="C14" i="1" l="1"/>
  <c r="D17" i="1"/>
  <c r="C17" i="1"/>
  <c r="C12" i="1"/>
  <c r="D14" i="1"/>
  <c r="C13" i="1"/>
  <c r="C11" i="1"/>
  <c r="D16" i="1"/>
  <c r="D15" i="1"/>
  <c r="D10" i="1"/>
  <c r="C10" i="1"/>
  <c r="D11" i="1"/>
  <c r="C16" i="1"/>
  <c r="D13" i="1"/>
  <c r="C15" i="1"/>
  <c r="D12" i="1"/>
  <c r="D35" i="1"/>
  <c r="C28" i="1"/>
  <c r="D33" i="1"/>
  <c r="D29" i="1"/>
  <c r="C31" i="1"/>
  <c r="C34" i="1"/>
  <c r="D34" i="1"/>
  <c r="C27" i="1"/>
  <c r="D27" i="1"/>
  <c r="C29" i="1"/>
  <c r="D32" i="1"/>
  <c r="C32" i="1"/>
  <c r="C35" i="1"/>
  <c r="C33" i="1"/>
  <c r="D30" i="1"/>
  <c r="D28" i="1"/>
  <c r="C30" i="1"/>
  <c r="D31" i="1"/>
</calcChain>
</file>

<file path=xl/sharedStrings.xml><?xml version="1.0" encoding="utf-8"?>
<sst xmlns="http://schemas.openxmlformats.org/spreadsheetml/2006/main" count="34" uniqueCount="28">
  <si>
    <t>Staff ID</t>
  </si>
  <si>
    <t>Name</t>
  </si>
  <si>
    <t>Average Hours</t>
  </si>
  <si>
    <t>Rohan</t>
  </si>
  <si>
    <t>Dinh</t>
  </si>
  <si>
    <t>Madeleine</t>
  </si>
  <si>
    <t>Trav</t>
  </si>
  <si>
    <t>Butch</t>
  </si>
  <si>
    <t>Paul</t>
  </si>
  <si>
    <t>Josh</t>
  </si>
  <si>
    <t>Example</t>
  </si>
  <si>
    <t>Start Hour</t>
  </si>
  <si>
    <t>Start Minute</t>
  </si>
  <si>
    <t>End Hour</t>
  </si>
  <si>
    <t>End Minute</t>
  </si>
  <si>
    <t>Date</t>
  </si>
  <si>
    <t>Overall</t>
  </si>
  <si>
    <t>Daytime Shift</t>
  </si>
  <si>
    <t>Evening Shift</t>
  </si>
  <si>
    <t>Mikhail</t>
  </si>
  <si>
    <t>Mitchell</t>
  </si>
  <si>
    <t>Ha</t>
  </si>
  <si>
    <t>Vineet</t>
  </si>
  <si>
    <t>Heidi</t>
  </si>
  <si>
    <t>Vinay</t>
  </si>
  <si>
    <t>Jake</t>
  </si>
  <si>
    <t>Harry</t>
  </si>
  <si>
    <t>Average Pay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</si>
</sst>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;[Red]\-&quot;$&quot;#,##0.00"/>
    <numFmt numFmtId="165" formatCode="&quot;$&quot;#,##0.00"/>
  </numFmts>
  <fonts count="1" x14ac:knownFonts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2" fontId="0" fillId="0" borderId="0" xfId="0" applyNumberFormat="1"/>
    <xf numFmtId="0" fontId="0" fillId="6" borderId="0" xfId="0" applyFill="1"/>
    <xf numFmtId="164" fontId="0" fillId="3" borderId="0" xfId="0" applyNumberFormat="1" applyFill="1"/>
    <xf numFmtId="165" fontId="0" fillId="0" borderId="0" xfId="0" applyNumberFormat="1"/>
    <xf numFmtId="2" fontId="0" fillId="5" borderId="0" xfId="0" applyNumberFormat="1" applyFill="1" applyProtection="1">
      <protection locked="0"/>
    </xf>
    <xf numFmtId="165" fontId="0" fillId="5" borderId="0" xfId="0" applyNumberFormat="1" applyFill="1" applyProtection="1">
      <protection locked="0"/>
    </xf>
    <xf numFmtId="2" fontId="0" fillId="6" borderId="0" xfId="0" applyNumberFormat="1" applyFill="1" applyProtection="1">
      <protection locked="0"/>
    </xf>
    <xf numFmtId="165" fontId="0" fillId="6" borderId="0" xfId="0" applyNumberFormat="1" applyFill="1" applyProtection="1">
      <protection locked="0"/>
    </xf>
    <xf numFmtId="14" fontId="0" fillId="0" borderId="0" xfId="0" applyNumberFormat="1"/>
    <xf numFmtId="14" fontId="0" fillId="2" borderId="0" xfId="0" applyNumberFormat="1" applyFill="1"/>
    <xf numFmtId="0" fontId="0" fillId="4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5" Type="http://schemas.microsoft.com/office/2006/relationships/vbaProject" Target="vbaProject.bin"/><Relationship Id="rId10" Type="http://schemas.openxmlformats.org/officeDocument/2006/relationships/externalLink" Target="externalLinks/externalLink8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Daytime Staff</a:t>
            </a:r>
          </a:p>
        </c:rich>
      </c:tx>
      <c:layout>
        <c:manualLayout>
          <c:xMode val="edge"/>
          <c:yMode val="edge"/>
          <c:x val="0.41293684235416517"/>
          <c:y val="4.04040404040404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'Task 1'!$C$9</c:f>
              <c:strCache>
                <c:ptCount val="1"/>
                <c:pt idx="0">
                  <c:v>Average Hours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'Task 1'!$A$10:$B$17</c:f>
              <c:multiLvlStrCache>
                <c:ptCount val="8"/>
                <c:lvl>
                  <c:pt idx="0">
                    <c:v>Rohan</c:v>
                  </c:pt>
                  <c:pt idx="1">
                    <c:v>Trav</c:v>
                  </c:pt>
                  <c:pt idx="2">
                    <c:v>Josh</c:v>
                  </c:pt>
                  <c:pt idx="3">
                    <c:v>Dinh</c:v>
                  </c:pt>
                  <c:pt idx="4">
                    <c:v>Madeleine</c:v>
                  </c:pt>
                  <c:pt idx="5">
                    <c:v>Butch</c:v>
                  </c:pt>
                  <c:pt idx="6">
                    <c:v>Paul</c:v>
                  </c:pt>
                </c:lvl>
                <c:lvl>
                  <c:pt idx="0">
                    <c:v>100001</c:v>
                  </c:pt>
                  <c:pt idx="1">
                    <c:v>100002</c:v>
                  </c:pt>
                  <c:pt idx="2">
                    <c:v>100004</c:v>
                  </c:pt>
                  <c:pt idx="3">
                    <c:v>100005</c:v>
                  </c:pt>
                  <c:pt idx="4">
                    <c:v>100006</c:v>
                  </c:pt>
                  <c:pt idx="5">
                    <c:v>100010</c:v>
                  </c:pt>
                  <c:pt idx="6">
                    <c:v>100015</c:v>
                  </c:pt>
                  <c:pt idx="7">
                    <c:v>Overall</c:v>
                  </c:pt>
                </c:lvl>
              </c:multiLvlStrCache>
            </c:multiLvlStrRef>
          </c:cat>
          <c:val>
            <c:numRef>
              <c:f>'Task 1'!$C$10:$C$17</c:f>
              <c:numCache>
                <c:formatCode>0.00</c:formatCode>
                <c:ptCount val="8"/>
                <c:pt idx="0">
                  <c:v>7.2378205128205133</c:v>
                </c:pt>
                <c:pt idx="1">
                  <c:v>7.5223484848484867</c:v>
                </c:pt>
                <c:pt idx="2">
                  <c:v>7.5223484848484867</c:v>
                </c:pt>
                <c:pt idx="3">
                  <c:v>7.3127450980392155</c:v>
                </c:pt>
                <c:pt idx="4">
                  <c:v>7.1904513888888895</c:v>
                </c:pt>
                <c:pt idx="5">
                  <c:v>7.1892473118279607</c:v>
                </c:pt>
                <c:pt idx="6">
                  <c:v>7.2121621621621657</c:v>
                </c:pt>
                <c:pt idx="7">
                  <c:v>7.3124462062051032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BB-407F-BC4F-F198D0ADC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9664760"/>
        <c:axId val="429665744"/>
      </c:barChart>
      <c:lineChart>
        <c:grouping val="standard"/>
        <c:varyColors val="0"/>
        <c:ser>
          <c:idx val="1"/>
          <c:order val="1"/>
          <c:tx>
            <c:strRef>
              <c:f>'Task 1'!$D$9</c:f>
              <c:strCache>
                <c:ptCount val="1"/>
                <c:pt idx="0">
                  <c:v>Average Pay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'Task 1'!$A$10:$B$17</c:f>
              <c:multiLvlStrCache>
                <c:ptCount val="8"/>
                <c:lvl>
                  <c:pt idx="0">
                    <c:v>Rohan</c:v>
                  </c:pt>
                  <c:pt idx="1">
                    <c:v>Trav</c:v>
                  </c:pt>
                  <c:pt idx="2">
                    <c:v>Josh</c:v>
                  </c:pt>
                  <c:pt idx="3">
                    <c:v>Dinh</c:v>
                  </c:pt>
                  <c:pt idx="4">
                    <c:v>Madeleine</c:v>
                  </c:pt>
                  <c:pt idx="5">
                    <c:v>Butch</c:v>
                  </c:pt>
                  <c:pt idx="6">
                    <c:v>Paul</c:v>
                  </c:pt>
                </c:lvl>
                <c:lvl>
                  <c:pt idx="0">
                    <c:v>100001</c:v>
                  </c:pt>
                  <c:pt idx="1">
                    <c:v>100002</c:v>
                  </c:pt>
                  <c:pt idx="2">
                    <c:v>100004</c:v>
                  </c:pt>
                  <c:pt idx="3">
                    <c:v>100005</c:v>
                  </c:pt>
                  <c:pt idx="4">
                    <c:v>100006</c:v>
                  </c:pt>
                  <c:pt idx="5">
                    <c:v>100010</c:v>
                  </c:pt>
                  <c:pt idx="6">
                    <c:v>100015</c:v>
                  </c:pt>
                  <c:pt idx="7">
                    <c:v>Overall</c:v>
                  </c:pt>
                </c:lvl>
              </c:multiLvlStrCache>
            </c:multiLvlStrRef>
          </c:cat>
          <c:val>
            <c:numRef>
              <c:f>'Task 1'!$D$10:$D$17</c:f>
              <c:numCache>
                <c:formatCode>"$"#,##0.00</c:formatCode>
                <c:ptCount val="8"/>
                <c:pt idx="0">
                  <c:v>443.60601923076928</c:v>
                </c:pt>
                <c:pt idx="1">
                  <c:v>461.04473863636372</c:v>
                </c:pt>
                <c:pt idx="2">
                  <c:v>461.04473863636372</c:v>
                </c:pt>
                <c:pt idx="3">
                  <c:v>448.19814705882351</c:v>
                </c:pt>
                <c:pt idx="4">
                  <c:v>440.70276562500004</c:v>
                </c:pt>
                <c:pt idx="5">
                  <c:v>440.6289677419357</c:v>
                </c:pt>
                <c:pt idx="6">
                  <c:v>442.03341891891915</c:v>
                </c:pt>
                <c:pt idx="7">
                  <c:v>448.17982797831075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63-4183-9AAC-C65B0E07E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1057808"/>
        <c:axId val="914019264"/>
      </c:lineChart>
      <c:catAx>
        <c:axId val="429664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65744"/>
        <c:crosses val="autoZero"/>
        <c:auto val="1"/>
        <c:lblAlgn val="ctr"/>
        <c:lblOffset val="100"/>
        <c:noMultiLvlLbl val="0"/>
      </c:catAx>
      <c:valAx>
        <c:axId val="429665744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64760"/>
        <c:crosses val="autoZero"/>
        <c:crossBetween val="between"/>
      </c:valAx>
      <c:valAx>
        <c:axId val="914019264"/>
        <c:scaling>
          <c:orientation val="minMax"/>
          <c:min val="0"/>
        </c:scaling>
        <c:delete val="0"/>
        <c:axPos val="r"/>
        <c:numFmt formatCode="&quot;$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1057808"/>
        <c:crosses val="max"/>
        <c:crossBetween val="between"/>
      </c:valAx>
      <c:catAx>
        <c:axId val="9110578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14019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Evening</a:t>
            </a:r>
            <a:r>
              <a:rPr lang="en-US" baseline="0"/>
              <a:t> Staff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'Task 1'!$C$26</c:f>
              <c:strCache>
                <c:ptCount val="1"/>
                <c:pt idx="0">
                  <c:v>Average Hours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'Task 1'!$A$27:$B$35</c:f>
              <c:multiLvlStrCache>
                <c:ptCount val="9"/>
                <c:lvl>
                  <c:pt idx="0">
                    <c:v>Mitchell</c:v>
                  </c:pt>
                  <c:pt idx="1">
                    <c:v>Heidi</c:v>
                  </c:pt>
                  <c:pt idx="2">
                    <c:v>Jake</c:v>
                  </c:pt>
                  <c:pt idx="3">
                    <c:v>Mikhail</c:v>
                  </c:pt>
                  <c:pt idx="4">
                    <c:v>Harry</c:v>
                  </c:pt>
                  <c:pt idx="5">
                    <c:v>Vineet</c:v>
                  </c:pt>
                  <c:pt idx="6">
                    <c:v>Ha</c:v>
                  </c:pt>
                  <c:pt idx="7">
                    <c:v>Vinay</c:v>
                  </c:pt>
                </c:lvl>
                <c:lvl>
                  <c:pt idx="0">
                    <c:v>100003</c:v>
                  </c:pt>
                  <c:pt idx="1">
                    <c:v>100007</c:v>
                  </c:pt>
                  <c:pt idx="2">
                    <c:v>100008</c:v>
                  </c:pt>
                  <c:pt idx="3">
                    <c:v>100009</c:v>
                  </c:pt>
                  <c:pt idx="4">
                    <c:v>100011</c:v>
                  </c:pt>
                  <c:pt idx="5">
                    <c:v>100012</c:v>
                  </c:pt>
                  <c:pt idx="6">
                    <c:v>100013</c:v>
                  </c:pt>
                  <c:pt idx="7">
                    <c:v>100014</c:v>
                  </c:pt>
                  <c:pt idx="8">
                    <c:v>Overall</c:v>
                  </c:pt>
                </c:lvl>
              </c:multiLvlStrCache>
            </c:multiLvlStrRef>
          </c:cat>
          <c:val>
            <c:numRef>
              <c:f>'Task 1'!$C$27:$C$35</c:f>
              <c:numCache>
                <c:formatCode>0.00</c:formatCode>
                <c:ptCount val="9"/>
                <c:pt idx="0">
                  <c:v>7.0266666666666664</c:v>
                </c:pt>
                <c:pt idx="1">
                  <c:v>6.3233333333333359</c:v>
                </c:pt>
                <c:pt idx="2">
                  <c:v>6.5286821705426377</c:v>
                </c:pt>
                <c:pt idx="3">
                  <c:v>6.5286821705426377</c:v>
                </c:pt>
                <c:pt idx="4">
                  <c:v>6.4457575757575771</c:v>
                </c:pt>
                <c:pt idx="5">
                  <c:v>6.3799516908212563</c:v>
                </c:pt>
                <c:pt idx="6">
                  <c:v>6.3582159624413146</c:v>
                </c:pt>
                <c:pt idx="7">
                  <c:v>6.3395299145299138</c:v>
                </c:pt>
                <c:pt idx="8">
                  <c:v>6.491352435579417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2-4335-86BF-F1173EB2B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66922239"/>
        <c:axId val="970731167"/>
      </c:barChart>
      <c:lineChart>
        <c:grouping val="standard"/>
        <c:varyColors val="0"/>
        <c:ser>
          <c:idx val="1"/>
          <c:order val="1"/>
          <c:tx>
            <c:strRef>
              <c:f>'Task 1'!$D$26</c:f>
              <c:strCache>
                <c:ptCount val="1"/>
                <c:pt idx="0">
                  <c:v>Average Pay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'Task 1'!$A$27:$B$35</c:f>
              <c:multiLvlStrCache>
                <c:ptCount val="9"/>
                <c:lvl>
                  <c:pt idx="0">
                    <c:v>Mitchell</c:v>
                  </c:pt>
                  <c:pt idx="1">
                    <c:v>Heidi</c:v>
                  </c:pt>
                  <c:pt idx="2">
                    <c:v>Jake</c:v>
                  </c:pt>
                  <c:pt idx="3">
                    <c:v>Mikhail</c:v>
                  </c:pt>
                  <c:pt idx="4">
                    <c:v>Harry</c:v>
                  </c:pt>
                  <c:pt idx="5">
                    <c:v>Vineet</c:v>
                  </c:pt>
                  <c:pt idx="6">
                    <c:v>Ha</c:v>
                  </c:pt>
                  <c:pt idx="7">
                    <c:v>Vinay</c:v>
                  </c:pt>
                </c:lvl>
                <c:lvl>
                  <c:pt idx="0">
                    <c:v>100003</c:v>
                  </c:pt>
                  <c:pt idx="1">
                    <c:v>100007</c:v>
                  </c:pt>
                  <c:pt idx="2">
                    <c:v>100008</c:v>
                  </c:pt>
                  <c:pt idx="3">
                    <c:v>100009</c:v>
                  </c:pt>
                  <c:pt idx="4">
                    <c:v>100011</c:v>
                  </c:pt>
                  <c:pt idx="5">
                    <c:v>100012</c:v>
                  </c:pt>
                  <c:pt idx="6">
                    <c:v>100013</c:v>
                  </c:pt>
                  <c:pt idx="7">
                    <c:v>100014</c:v>
                  </c:pt>
                  <c:pt idx="8">
                    <c:v>Overall</c:v>
                  </c:pt>
                </c:lvl>
              </c:multiLvlStrCache>
            </c:multiLvlStrRef>
          </c:cat>
          <c:val>
            <c:numRef>
              <c:f>'Task 1'!$D$27:$D$35</c:f>
              <c:numCache>
                <c:formatCode>"$"#,##0.00</c:formatCode>
                <c:ptCount val="9"/>
                <c:pt idx="0">
                  <c:v>430.6644</c:v>
                </c:pt>
                <c:pt idx="1">
                  <c:v>387.55710000000016</c:v>
                </c:pt>
                <c:pt idx="2">
                  <c:v>400.14293023255823</c:v>
                </c:pt>
                <c:pt idx="3">
                  <c:v>400.14293023255823</c:v>
                </c:pt>
                <c:pt idx="4">
                  <c:v>395.06048181818187</c:v>
                </c:pt>
                <c:pt idx="5">
                  <c:v>391.02723913043479</c:v>
                </c:pt>
                <c:pt idx="6">
                  <c:v>389.69505633802817</c:v>
                </c:pt>
                <c:pt idx="7">
                  <c:v>388.54978846153841</c:v>
                </c:pt>
                <c:pt idx="8">
                  <c:v>397.85499077666248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0F-4245-86F5-C39C5C325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9406448"/>
        <c:axId val="914017600"/>
      </c:lineChart>
      <c:catAx>
        <c:axId val="966922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731167"/>
        <c:crosses val="autoZero"/>
        <c:auto val="1"/>
        <c:lblAlgn val="ctr"/>
        <c:lblOffset val="100"/>
        <c:noMultiLvlLbl val="0"/>
      </c:catAx>
      <c:valAx>
        <c:axId val="970731167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922239"/>
        <c:crosses val="autoZero"/>
        <c:crossBetween val="between"/>
      </c:valAx>
      <c:valAx>
        <c:axId val="914017600"/>
        <c:scaling>
          <c:orientation val="minMax"/>
          <c:min val="0"/>
        </c:scaling>
        <c:delete val="0"/>
        <c:axPos val="r"/>
        <c:numFmt formatCode="&quot;$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406448"/>
        <c:crosses val="max"/>
        <c:crossBetween val="between"/>
      </c:valAx>
      <c:catAx>
        <c:axId val="749406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14017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257175</xdr:colOff>
      <xdr:row>3</xdr:row>
      <xdr:rowOff>180975</xdr:rowOff>
    </xdr:from>
    <xdr:to>
      <xdr:col>13</xdr:col>
      <xdr:colOff>38100</xdr:colOff>
      <xdr:row>18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114301</xdr:rowOff>
    </xdr:from>
    <xdr:to>
      <xdr:col>3</xdr:col>
      <xdr:colOff>361950</xdr:colOff>
      <xdr:row>6</xdr:row>
      <xdr:rowOff>59349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114301"/>
          <a:ext cx="2571750" cy="1088048"/>
        </a:xfrm>
        <a:prstGeom prst="rect">
          <a:avLst/>
        </a:prstGeom>
      </xdr:spPr>
    </xdr:pic>
    <xdr:clientData/>
  </xdr:twoCellAnchor>
  <xdr:twoCellAnchor>
    <xdr:from>
      <xdr:col>5</xdr:col>
      <xdr:colOff>219074</xdr:colOff>
      <xdr:row>22</xdr:row>
      <xdr:rowOff>14287</xdr:rowOff>
    </xdr:from>
    <xdr:to>
      <xdr:col>12</xdr:col>
      <xdr:colOff>609599</xdr:colOff>
      <xdr:row>36</xdr:row>
      <xdr:rowOff>90487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mdin/Google%20Drive/Teaching%20Associate/2020/BFC%203540%20S1%202020/Spreadsheets/Student/VBA4_3540_S1_202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.monash.edu\home\Users\imdin\Google%20Drive\Teaching%20Associate\2020\BFC%203540%20S1%202020\Spreadsheets\Student\VBA4_3540_S1_202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BFC3540%20S1_2018/Slave%20SS%20-%20No%20Code/W1SS_Sl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.monash.edu\home\Work\BFC3540%20S1_2018\Slave%20SS%20-%20No%20Code\W1SS_Slave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BFC3540%20S1_2018/Slave%20SS%20-%20No%20Code/W3SS_Slav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.monash.edu\home\Work\BFC3540%20S1_2018\Slave%20SS%20-%20No%20Code\W3SS_Slave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BFC3540%20S1_2018/Slave%20SS%20-%20No%20Code/W2SS_Slave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.monash.edu\home\Work\BFC3540%20S1_2018\Slave%20SS%20-%20No%20Code\W2SS_Slav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"/>
      <sheetName val="Columns, Average, StDev"/>
      <sheetName val="Count, ReDim, Transpose"/>
      <sheetName val="Matrix Multiplication"/>
      <sheetName val="other"/>
    </sheetNames>
    <sheetDataSet>
      <sheetData sheetId="0" refreshError="1"/>
      <sheetData sheetId="1">
        <row r="15">
          <cell r="B15" t="str">
            <v>CSL</v>
          </cell>
          <cell r="C15" t="str">
            <v>COH</v>
          </cell>
          <cell r="D15" t="str">
            <v>SYD</v>
          </cell>
          <cell r="E15" t="str">
            <v>TCL</v>
          </cell>
          <cell r="F15" t="str">
            <v>FMG</v>
          </cell>
          <cell r="G15" t="str">
            <v>RIO</v>
          </cell>
        </row>
        <row r="16">
          <cell r="A16">
            <v>43787</v>
          </cell>
          <cell r="B16">
            <v>-1.8700359966839782E-2</v>
          </cell>
          <cell r="C16">
            <v>1.2906074496449407E-3</v>
          </cell>
          <cell r="D16">
            <v>-1.1217530594502657E-3</v>
          </cell>
          <cell r="E16">
            <v>-3.9736195107523504E-3</v>
          </cell>
          <cell r="F16">
            <v>4.7422678551607214E-2</v>
          </cell>
          <cell r="G16">
            <v>5.4374246566117179E-3</v>
          </cell>
        </row>
        <row r="17">
          <cell r="A17">
            <v>43794</v>
          </cell>
          <cell r="B17">
            <v>5.0016813213327863E-2</v>
          </cell>
          <cell r="C17">
            <v>3.9889380426787274E-2</v>
          </cell>
          <cell r="D17">
            <v>2.9853108172525258E-2</v>
          </cell>
          <cell r="E17">
            <v>1.8409498266754618E-2</v>
          </cell>
          <cell r="F17">
            <v>2.3922097591418532E-2</v>
          </cell>
          <cell r="G17">
            <v>2.9852951891589565E-2</v>
          </cell>
        </row>
        <row r="18">
          <cell r="A18">
            <v>43801</v>
          </cell>
          <cell r="B18">
            <v>-8.7869434117515792E-3</v>
          </cell>
          <cell r="C18">
            <v>-1.5895580917106081E-2</v>
          </cell>
          <cell r="D18">
            <v>2.1761499798105643E-3</v>
          </cell>
          <cell r="E18">
            <v>-1.7083158175728794E-2</v>
          </cell>
          <cell r="F18">
            <v>1.8330452143982847E-2</v>
          </cell>
          <cell r="G18">
            <v>-1.1521233702251853E-2</v>
          </cell>
        </row>
        <row r="19">
          <cell r="A19">
            <v>43808</v>
          </cell>
          <cell r="B19">
            <v>-1.0302012080780035E-2</v>
          </cell>
          <cell r="C19">
            <v>-2.28380452856203E-2</v>
          </cell>
          <cell r="D19">
            <v>-5.0149764012932446E-2</v>
          </cell>
          <cell r="E19">
            <v>3.9681610381542042E-3</v>
          </cell>
          <cell r="F19">
            <v>7.8566807300759406E-2</v>
          </cell>
          <cell r="G19">
            <v>4.8993931950619594E-2</v>
          </cell>
        </row>
        <row r="20">
          <cell r="A20">
            <v>43815</v>
          </cell>
          <cell r="B20">
            <v>1.1973216264306768E-2</v>
          </cell>
          <cell r="C20">
            <v>4.1038732642132751E-2</v>
          </cell>
          <cell r="D20">
            <v>3.1498634473499362E-2</v>
          </cell>
          <cell r="E20">
            <v>2.8629218026330363E-2</v>
          </cell>
          <cell r="F20">
            <v>2.1228300619853837E-2</v>
          </cell>
          <cell r="G20">
            <v>2.9964113564327374E-2</v>
          </cell>
        </row>
        <row r="21">
          <cell r="A21">
            <v>43822</v>
          </cell>
          <cell r="B21">
            <v>-3.7373478652552631E-3</v>
          </cell>
          <cell r="C21">
            <v>-7.8764030156566398E-3</v>
          </cell>
          <cell r="D21">
            <v>1.6474979559622707E-2</v>
          </cell>
          <cell r="E21">
            <v>1.2819979626612537E-3</v>
          </cell>
          <cell r="F21">
            <v>4.5558165358608824E-3</v>
          </cell>
          <cell r="G21">
            <v>-1.1155977043648607E-2</v>
          </cell>
        </row>
        <row r="22">
          <cell r="A22">
            <v>43829</v>
          </cell>
          <cell r="B22">
            <v>-1.1188616304717933E-2</v>
          </cell>
          <cell r="C22">
            <v>-3.0589068517611805E-2</v>
          </cell>
          <cell r="D22">
            <v>-5.7158564417703658E-2</v>
          </cell>
          <cell r="E22">
            <v>-4.4539068823745753E-2</v>
          </cell>
          <cell r="F22">
            <v>-2.2989518224698718E-2</v>
          </cell>
          <cell r="G22">
            <v>-1.1281828426893327E-2</v>
          </cell>
        </row>
        <row r="23">
          <cell r="A23">
            <v>43836</v>
          </cell>
          <cell r="B23">
            <v>7.6346465417801337E-2</v>
          </cell>
          <cell r="C23">
            <v>3.0589068517611867E-2</v>
          </cell>
          <cell r="D23">
            <v>4.2019391905420089E-2</v>
          </cell>
          <cell r="E23">
            <v>5.1702955116859725E-2</v>
          </cell>
          <cell r="F23">
            <v>-4.662013105811413E-3</v>
          </cell>
          <cell r="G23">
            <v>1.0501092569734883E-2</v>
          </cell>
        </row>
        <row r="24">
          <cell r="A24">
            <v>43843</v>
          </cell>
          <cell r="B24">
            <v>2.669397674556128E-3</v>
          </cell>
          <cell r="C24">
            <v>3.3885814305003877E-2</v>
          </cell>
          <cell r="D24">
            <v>2.1241715384246938E-2</v>
          </cell>
          <cell r="E24">
            <v>2.3092751642922595E-2</v>
          </cell>
          <cell r="F24">
            <v>6.424642240612391E-2</v>
          </cell>
          <cell r="G24">
            <v>2.7063798719467597E-2</v>
          </cell>
        </row>
        <row r="25">
          <cell r="A25">
            <v>43850</v>
          </cell>
          <cell r="B25">
            <v>3.4712082581809613E-2</v>
          </cell>
          <cell r="C25">
            <v>-1.9549258797518832E-2</v>
          </cell>
          <cell r="D25">
            <v>-6.9862402390320946E-2</v>
          </cell>
          <cell r="E25">
            <v>7.5805795736777369E-3</v>
          </cell>
          <cell r="F25">
            <v>8.9637199067297335E-2</v>
          </cell>
          <cell r="G25">
            <v>-1.9768401351406967E-2</v>
          </cell>
        </row>
        <row r="27">
          <cell r="C27" t="str">
            <v>CSL</v>
          </cell>
          <cell r="D27" t="str">
            <v>CSL Limited</v>
          </cell>
        </row>
        <row r="28">
          <cell r="C28" t="str">
            <v>COH</v>
          </cell>
          <cell r="D28" t="str">
            <v>Cochlear Limited</v>
          </cell>
        </row>
        <row r="29">
          <cell r="C29" t="str">
            <v>SYD</v>
          </cell>
          <cell r="D29" t="str">
            <v>Sydney Airport Limited</v>
          </cell>
        </row>
        <row r="30">
          <cell r="C30" t="str">
            <v>TCL</v>
          </cell>
          <cell r="D30" t="str">
            <v>Transurban Group</v>
          </cell>
        </row>
        <row r="31">
          <cell r="C31" t="str">
            <v>FMG</v>
          </cell>
          <cell r="D31" t="str">
            <v>Fortescue Metals Group Limited</v>
          </cell>
        </row>
        <row r="32">
          <cell r="C32" t="str">
            <v>RIO</v>
          </cell>
          <cell r="D32" t="str">
            <v>Rio Tinto Limited</v>
          </cell>
        </row>
        <row r="45">
          <cell r="B45" t="str">
            <v>CSL</v>
          </cell>
          <cell r="C45" t="str">
            <v>COH</v>
          </cell>
          <cell r="D45" t="str">
            <v>SYD</v>
          </cell>
          <cell r="E45" t="str">
            <v>TCL</v>
          </cell>
          <cell r="F45" t="str">
            <v>FMG</v>
          </cell>
          <cell r="G45" t="str">
            <v>RIO</v>
          </cell>
          <cell r="H45" t="str">
            <v>ALL ORDS</v>
          </cell>
        </row>
        <row r="46">
          <cell r="A46">
            <v>43780</v>
          </cell>
          <cell r="B46">
            <v>5.0002933243741443E-2</v>
          </cell>
          <cell r="C46">
            <v>4.8963840570630267E-2</v>
          </cell>
          <cell r="D46">
            <v>1.3544227190314815E-2</v>
          </cell>
          <cell r="E46">
            <v>2.747249759972431E-2</v>
          </cell>
          <cell r="F46">
            <v>-5.5808471927881229E-2</v>
          </cell>
          <cell r="G46">
            <v>-1.7905886720278059E-2</v>
          </cell>
          <cell r="H46">
            <v>9.5688507715230593E-3</v>
          </cell>
        </row>
        <row r="47">
          <cell r="A47">
            <v>43787</v>
          </cell>
          <cell r="B47">
            <v>-1.8700359966839782E-2</v>
          </cell>
          <cell r="C47">
            <v>1.2906074496449407E-3</v>
          </cell>
          <cell r="D47">
            <v>-1.1217530594502657E-3</v>
          </cell>
          <cell r="E47">
            <v>-3.9736195107523504E-3</v>
          </cell>
          <cell r="F47">
            <v>4.7422678551607214E-2</v>
          </cell>
          <cell r="G47">
            <v>5.4374246566117179E-3</v>
          </cell>
          <cell r="H47">
            <v>-1.2015820755382987E-2</v>
          </cell>
        </row>
        <row r="48">
          <cell r="A48">
            <v>43794</v>
          </cell>
          <cell r="B48">
            <v>5.0016813213327863E-2</v>
          </cell>
          <cell r="C48">
            <v>3.9889380426787274E-2</v>
          </cell>
          <cell r="D48">
            <v>2.9853108172525258E-2</v>
          </cell>
          <cell r="E48">
            <v>1.8409498266754618E-2</v>
          </cell>
          <cell r="F48">
            <v>2.3922097591418532E-2</v>
          </cell>
          <cell r="G48">
            <v>2.9852951891589565E-2</v>
          </cell>
          <cell r="H48">
            <v>1.9107704734811271E-2</v>
          </cell>
        </row>
        <row r="49">
          <cell r="A49">
            <v>43801</v>
          </cell>
          <cell r="B49">
            <v>-8.7869434117515792E-3</v>
          </cell>
          <cell r="C49">
            <v>-1.5895580917106081E-2</v>
          </cell>
          <cell r="D49">
            <v>2.1761499798105643E-3</v>
          </cell>
          <cell r="E49">
            <v>-1.7083158175728794E-2</v>
          </cell>
          <cell r="F49">
            <v>1.8330452143982847E-2</v>
          </cell>
          <cell r="G49">
            <v>-1.1521233702251853E-2</v>
          </cell>
          <cell r="H49">
            <v>-1.9547910171120075E-2</v>
          </cell>
        </row>
        <row r="50">
          <cell r="A50">
            <v>43808</v>
          </cell>
          <cell r="B50">
            <v>-1.0302012080780035E-2</v>
          </cell>
          <cell r="C50">
            <v>-2.28380452856203E-2</v>
          </cell>
          <cell r="D50">
            <v>-5.0149764012932446E-2</v>
          </cell>
          <cell r="E50">
            <v>3.9681610381542042E-3</v>
          </cell>
          <cell r="F50">
            <v>7.8566807300759406E-2</v>
          </cell>
          <cell r="G50">
            <v>4.8993931950619594E-2</v>
          </cell>
          <cell r="H50">
            <v>4.5540963278392728E-3</v>
          </cell>
        </row>
        <row r="51">
          <cell r="A51">
            <v>43815</v>
          </cell>
          <cell r="B51">
            <v>1.1973216264306768E-2</v>
          </cell>
          <cell r="C51">
            <v>4.1038732642132751E-2</v>
          </cell>
          <cell r="D51">
            <v>3.1498634473499362E-2</v>
          </cell>
          <cell r="E51">
            <v>2.8629218026330363E-2</v>
          </cell>
          <cell r="F51">
            <v>2.1228300619853837E-2</v>
          </cell>
          <cell r="G51">
            <v>2.9964113564327374E-2</v>
          </cell>
          <cell r="H51">
            <v>1.1591357032008719E-2</v>
          </cell>
        </row>
        <row r="52">
          <cell r="A52">
            <v>43822</v>
          </cell>
          <cell r="B52">
            <v>-3.7373478652552631E-3</v>
          </cell>
          <cell r="C52">
            <v>-7.8764030156566398E-3</v>
          </cell>
          <cell r="D52">
            <v>1.6474979559622707E-2</v>
          </cell>
          <cell r="E52">
            <v>1.2819979626612537E-3</v>
          </cell>
          <cell r="F52">
            <v>4.5558165358608824E-3</v>
          </cell>
          <cell r="G52">
            <v>-1.1155977043648607E-2</v>
          </cell>
          <cell r="H52">
            <v>1.7170714574719574E-3</v>
          </cell>
        </row>
        <row r="53">
          <cell r="A53">
            <v>43829</v>
          </cell>
          <cell r="B53">
            <v>-1.1188616304717933E-2</v>
          </cell>
          <cell r="C53">
            <v>-3.0589068517611805E-2</v>
          </cell>
          <cell r="D53">
            <v>-5.7158564417703658E-2</v>
          </cell>
          <cell r="E53">
            <v>-4.4539068823745753E-2</v>
          </cell>
          <cell r="F53">
            <v>-2.2989518224698718E-2</v>
          </cell>
          <cell r="G53">
            <v>-1.1281828426893327E-2</v>
          </cell>
          <cell r="H53">
            <v>-1.1760946206727357E-2</v>
          </cell>
        </row>
        <row r="54">
          <cell r="A54">
            <v>43836</v>
          </cell>
          <cell r="B54">
            <v>7.6346465417801337E-2</v>
          </cell>
          <cell r="C54">
            <v>3.0589068517611867E-2</v>
          </cell>
          <cell r="D54">
            <v>4.2019391905420089E-2</v>
          </cell>
          <cell r="E54">
            <v>5.1702955116859725E-2</v>
          </cell>
          <cell r="F54">
            <v>-4.662013105811413E-3</v>
          </cell>
          <cell r="G54">
            <v>1.0501092569734883E-2</v>
          </cell>
          <cell r="H54">
            <v>2.6870489385784176E-2</v>
          </cell>
        </row>
        <row r="55">
          <cell r="A55">
            <v>43843</v>
          </cell>
          <cell r="B55">
            <v>2.669397674556128E-3</v>
          </cell>
          <cell r="C55">
            <v>3.3885814305003877E-2</v>
          </cell>
          <cell r="D55">
            <v>2.1241715384246938E-2</v>
          </cell>
          <cell r="E55">
            <v>2.3092751642922595E-2</v>
          </cell>
          <cell r="F55">
            <v>6.424642240612391E-2</v>
          </cell>
          <cell r="G55">
            <v>2.7063798719467597E-2</v>
          </cell>
          <cell r="H55">
            <v>1.9463131555308322E-2</v>
          </cell>
        </row>
        <row r="56">
          <cell r="A56">
            <v>43850</v>
          </cell>
          <cell r="B56">
            <v>3.4712082581809613E-2</v>
          </cell>
          <cell r="C56">
            <v>-1.9549258797518832E-2</v>
          </cell>
          <cell r="D56">
            <v>-6.9862402390320946E-2</v>
          </cell>
          <cell r="E56">
            <v>7.5805795736777369E-3</v>
          </cell>
          <cell r="F56">
            <v>8.9637199067297335E-2</v>
          </cell>
          <cell r="G56">
            <v>-1.9768401351406967E-2</v>
          </cell>
          <cell r="H56">
            <v>3.184261042153534E-3</v>
          </cell>
        </row>
      </sheetData>
      <sheetData sheetId="2"/>
      <sheetData sheetId="3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"/>
      <sheetName val="Columns, Average, StDev"/>
      <sheetName val="Count, ReDim, Transpose"/>
      <sheetName val="Matrix Multiplication"/>
      <sheetName val="other"/>
    </sheetNames>
    <sheetDataSet>
      <sheetData sheetId="0" refreshError="1"/>
      <sheetData sheetId="1">
        <row r="15">
          <cell r="B15" t="str">
            <v>CSL</v>
          </cell>
          <cell r="C15" t="str">
            <v>COH</v>
          </cell>
          <cell r="D15" t="str">
            <v>SYD</v>
          </cell>
          <cell r="E15" t="str">
            <v>TCL</v>
          </cell>
          <cell r="F15" t="str">
            <v>FMG</v>
          </cell>
          <cell r="G15" t="str">
            <v>RIO</v>
          </cell>
        </row>
        <row r="16">
          <cell r="A16">
            <v>43787</v>
          </cell>
          <cell r="B16">
            <v>-1.8700359966839782E-2</v>
          </cell>
          <cell r="C16">
            <v>1.2906074496449407E-3</v>
          </cell>
          <cell r="D16">
            <v>-1.1217530594502657E-3</v>
          </cell>
          <cell r="E16">
            <v>-3.9736195107523504E-3</v>
          </cell>
          <cell r="F16">
            <v>4.7422678551607214E-2</v>
          </cell>
          <cell r="G16">
            <v>5.4374246566117179E-3</v>
          </cell>
        </row>
        <row r="17">
          <cell r="A17">
            <v>43794</v>
          </cell>
          <cell r="B17">
            <v>5.0016813213327863E-2</v>
          </cell>
          <cell r="C17">
            <v>3.9889380426787274E-2</v>
          </cell>
          <cell r="D17">
            <v>2.9853108172525258E-2</v>
          </cell>
          <cell r="E17">
            <v>1.8409498266754618E-2</v>
          </cell>
          <cell r="F17">
            <v>2.3922097591418532E-2</v>
          </cell>
          <cell r="G17">
            <v>2.9852951891589565E-2</v>
          </cell>
        </row>
        <row r="18">
          <cell r="A18">
            <v>43801</v>
          </cell>
          <cell r="B18">
            <v>-8.7869434117515792E-3</v>
          </cell>
          <cell r="C18">
            <v>-1.5895580917106081E-2</v>
          </cell>
          <cell r="D18">
            <v>2.1761499798105643E-3</v>
          </cell>
          <cell r="E18">
            <v>-1.7083158175728794E-2</v>
          </cell>
          <cell r="F18">
            <v>1.8330452143982847E-2</v>
          </cell>
          <cell r="G18">
            <v>-1.1521233702251853E-2</v>
          </cell>
        </row>
        <row r="19">
          <cell r="A19">
            <v>43808</v>
          </cell>
          <cell r="B19">
            <v>-1.0302012080780035E-2</v>
          </cell>
          <cell r="C19">
            <v>-2.28380452856203E-2</v>
          </cell>
          <cell r="D19">
            <v>-5.0149764012932446E-2</v>
          </cell>
          <cell r="E19">
            <v>3.9681610381542042E-3</v>
          </cell>
          <cell r="F19">
            <v>7.8566807300759406E-2</v>
          </cell>
          <cell r="G19">
            <v>4.8993931950619594E-2</v>
          </cell>
        </row>
        <row r="20">
          <cell r="A20">
            <v>43815</v>
          </cell>
          <cell r="B20">
            <v>1.1973216264306768E-2</v>
          </cell>
          <cell r="C20">
            <v>4.1038732642132751E-2</v>
          </cell>
          <cell r="D20">
            <v>3.1498634473499362E-2</v>
          </cell>
          <cell r="E20">
            <v>2.8629218026330363E-2</v>
          </cell>
          <cell r="F20">
            <v>2.1228300619853837E-2</v>
          </cell>
          <cell r="G20">
            <v>2.9964113564327374E-2</v>
          </cell>
        </row>
        <row r="21">
          <cell r="A21">
            <v>43822</v>
          </cell>
          <cell r="B21">
            <v>-3.7373478652552631E-3</v>
          </cell>
          <cell r="C21">
            <v>-7.8764030156566398E-3</v>
          </cell>
          <cell r="D21">
            <v>1.6474979559622707E-2</v>
          </cell>
          <cell r="E21">
            <v>1.2819979626612537E-3</v>
          </cell>
          <cell r="F21">
            <v>4.5558165358608824E-3</v>
          </cell>
          <cell r="G21">
            <v>-1.1155977043648607E-2</v>
          </cell>
        </row>
        <row r="22">
          <cell r="A22">
            <v>43829</v>
          </cell>
          <cell r="B22">
            <v>-1.1188616304717933E-2</v>
          </cell>
          <cell r="C22">
            <v>-3.0589068517611805E-2</v>
          </cell>
          <cell r="D22">
            <v>-5.7158564417703658E-2</v>
          </cell>
          <cell r="E22">
            <v>-4.4539068823745753E-2</v>
          </cell>
          <cell r="F22">
            <v>-2.2989518224698718E-2</v>
          </cell>
          <cell r="G22">
            <v>-1.1281828426893327E-2</v>
          </cell>
        </row>
        <row r="23">
          <cell r="A23">
            <v>43836</v>
          </cell>
          <cell r="B23">
            <v>7.6346465417801337E-2</v>
          </cell>
          <cell r="C23">
            <v>3.0589068517611867E-2</v>
          </cell>
          <cell r="D23">
            <v>4.2019391905420089E-2</v>
          </cell>
          <cell r="E23">
            <v>5.1702955116859725E-2</v>
          </cell>
          <cell r="F23">
            <v>-4.662013105811413E-3</v>
          </cell>
          <cell r="G23">
            <v>1.0501092569734883E-2</v>
          </cell>
        </row>
        <row r="24">
          <cell r="A24">
            <v>43843</v>
          </cell>
          <cell r="B24">
            <v>2.669397674556128E-3</v>
          </cell>
          <cell r="C24">
            <v>3.3885814305003877E-2</v>
          </cell>
          <cell r="D24">
            <v>2.1241715384246938E-2</v>
          </cell>
          <cell r="E24">
            <v>2.3092751642922595E-2</v>
          </cell>
          <cell r="F24">
            <v>6.424642240612391E-2</v>
          </cell>
          <cell r="G24">
            <v>2.7063798719467597E-2</v>
          </cell>
        </row>
        <row r="25">
          <cell r="A25">
            <v>43850</v>
          </cell>
          <cell r="B25">
            <v>3.4712082581809613E-2</v>
          </cell>
          <cell r="C25">
            <v>-1.9549258797518832E-2</v>
          </cell>
          <cell r="D25">
            <v>-6.9862402390320946E-2</v>
          </cell>
          <cell r="E25">
            <v>7.5805795736777369E-3</v>
          </cell>
          <cell r="F25">
            <v>8.9637199067297335E-2</v>
          </cell>
          <cell r="G25">
            <v>-1.9768401351406967E-2</v>
          </cell>
        </row>
        <row r="27">
          <cell r="C27" t="str">
            <v>CSL</v>
          </cell>
          <cell r="D27" t="str">
            <v>CSL Limited</v>
          </cell>
        </row>
        <row r="28">
          <cell r="C28" t="str">
            <v>COH</v>
          </cell>
          <cell r="D28" t="str">
            <v>Cochlear Limited</v>
          </cell>
        </row>
        <row r="29">
          <cell r="C29" t="str">
            <v>SYD</v>
          </cell>
          <cell r="D29" t="str">
            <v>Sydney Airport Limited</v>
          </cell>
        </row>
        <row r="30">
          <cell r="C30" t="str">
            <v>TCL</v>
          </cell>
          <cell r="D30" t="str">
            <v>Transurban Group</v>
          </cell>
        </row>
        <row r="31">
          <cell r="C31" t="str">
            <v>FMG</v>
          </cell>
          <cell r="D31" t="str">
            <v>Fortescue Metals Group Limited</v>
          </cell>
        </row>
        <row r="32">
          <cell r="C32" t="str">
            <v>RIO</v>
          </cell>
          <cell r="D32" t="str">
            <v>Rio Tinto Limited</v>
          </cell>
        </row>
        <row r="45">
          <cell r="B45" t="str">
            <v>CSL</v>
          </cell>
          <cell r="C45" t="str">
            <v>COH</v>
          </cell>
          <cell r="D45" t="str">
            <v>SYD</v>
          </cell>
          <cell r="E45" t="str">
            <v>TCL</v>
          </cell>
          <cell r="F45" t="str">
            <v>FMG</v>
          </cell>
          <cell r="G45" t="str">
            <v>RIO</v>
          </cell>
          <cell r="H45" t="str">
            <v>ALL ORDS</v>
          </cell>
        </row>
        <row r="46">
          <cell r="A46">
            <v>43780</v>
          </cell>
          <cell r="B46">
            <v>5.0002933243741443E-2</v>
          </cell>
          <cell r="C46">
            <v>4.8963840570630267E-2</v>
          </cell>
          <cell r="D46">
            <v>1.3544227190314815E-2</v>
          </cell>
          <cell r="E46">
            <v>2.747249759972431E-2</v>
          </cell>
          <cell r="F46">
            <v>-5.5808471927881229E-2</v>
          </cell>
          <cell r="G46">
            <v>-1.7905886720278059E-2</v>
          </cell>
          <cell r="H46">
            <v>9.5688507715230593E-3</v>
          </cell>
        </row>
        <row r="47">
          <cell r="A47">
            <v>43787</v>
          </cell>
          <cell r="B47">
            <v>-1.8700359966839782E-2</v>
          </cell>
          <cell r="C47">
            <v>1.2906074496449407E-3</v>
          </cell>
          <cell r="D47">
            <v>-1.1217530594502657E-3</v>
          </cell>
          <cell r="E47">
            <v>-3.9736195107523504E-3</v>
          </cell>
          <cell r="F47">
            <v>4.7422678551607214E-2</v>
          </cell>
          <cell r="G47">
            <v>5.4374246566117179E-3</v>
          </cell>
          <cell r="H47">
            <v>-1.2015820755382987E-2</v>
          </cell>
        </row>
        <row r="48">
          <cell r="A48">
            <v>43794</v>
          </cell>
          <cell r="B48">
            <v>5.0016813213327863E-2</v>
          </cell>
          <cell r="C48">
            <v>3.9889380426787274E-2</v>
          </cell>
          <cell r="D48">
            <v>2.9853108172525258E-2</v>
          </cell>
          <cell r="E48">
            <v>1.8409498266754618E-2</v>
          </cell>
          <cell r="F48">
            <v>2.3922097591418532E-2</v>
          </cell>
          <cell r="G48">
            <v>2.9852951891589565E-2</v>
          </cell>
          <cell r="H48">
            <v>1.9107704734811271E-2</v>
          </cell>
        </row>
        <row r="49">
          <cell r="A49">
            <v>43801</v>
          </cell>
          <cell r="B49">
            <v>-8.7869434117515792E-3</v>
          </cell>
          <cell r="C49">
            <v>-1.5895580917106081E-2</v>
          </cell>
          <cell r="D49">
            <v>2.1761499798105643E-3</v>
          </cell>
          <cell r="E49">
            <v>-1.7083158175728794E-2</v>
          </cell>
          <cell r="F49">
            <v>1.8330452143982847E-2</v>
          </cell>
          <cell r="G49">
            <v>-1.1521233702251853E-2</v>
          </cell>
          <cell r="H49">
            <v>-1.9547910171120075E-2</v>
          </cell>
        </row>
        <row r="50">
          <cell r="A50">
            <v>43808</v>
          </cell>
          <cell r="B50">
            <v>-1.0302012080780035E-2</v>
          </cell>
          <cell r="C50">
            <v>-2.28380452856203E-2</v>
          </cell>
          <cell r="D50">
            <v>-5.0149764012932446E-2</v>
          </cell>
          <cell r="E50">
            <v>3.9681610381542042E-3</v>
          </cell>
          <cell r="F50">
            <v>7.8566807300759406E-2</v>
          </cell>
          <cell r="G50">
            <v>4.8993931950619594E-2</v>
          </cell>
          <cell r="H50">
            <v>4.5540963278392728E-3</v>
          </cell>
        </row>
        <row r="51">
          <cell r="A51">
            <v>43815</v>
          </cell>
          <cell r="B51">
            <v>1.1973216264306768E-2</v>
          </cell>
          <cell r="C51">
            <v>4.1038732642132751E-2</v>
          </cell>
          <cell r="D51">
            <v>3.1498634473499362E-2</v>
          </cell>
          <cell r="E51">
            <v>2.8629218026330363E-2</v>
          </cell>
          <cell r="F51">
            <v>2.1228300619853837E-2</v>
          </cell>
          <cell r="G51">
            <v>2.9964113564327374E-2</v>
          </cell>
          <cell r="H51">
            <v>1.1591357032008719E-2</v>
          </cell>
        </row>
        <row r="52">
          <cell r="A52">
            <v>43822</v>
          </cell>
          <cell r="B52">
            <v>-3.7373478652552631E-3</v>
          </cell>
          <cell r="C52">
            <v>-7.8764030156566398E-3</v>
          </cell>
          <cell r="D52">
            <v>1.6474979559622707E-2</v>
          </cell>
          <cell r="E52">
            <v>1.2819979626612537E-3</v>
          </cell>
          <cell r="F52">
            <v>4.5558165358608824E-3</v>
          </cell>
          <cell r="G52">
            <v>-1.1155977043648607E-2</v>
          </cell>
          <cell r="H52">
            <v>1.7170714574719574E-3</v>
          </cell>
        </row>
        <row r="53">
          <cell r="A53">
            <v>43829</v>
          </cell>
          <cell r="B53">
            <v>-1.1188616304717933E-2</v>
          </cell>
          <cell r="C53">
            <v>-3.0589068517611805E-2</v>
          </cell>
          <cell r="D53">
            <v>-5.7158564417703658E-2</v>
          </cell>
          <cell r="E53">
            <v>-4.4539068823745753E-2</v>
          </cell>
          <cell r="F53">
            <v>-2.2989518224698718E-2</v>
          </cell>
          <cell r="G53">
            <v>-1.1281828426893327E-2</v>
          </cell>
          <cell r="H53">
            <v>-1.1760946206727357E-2</v>
          </cell>
        </row>
        <row r="54">
          <cell r="A54">
            <v>43836</v>
          </cell>
          <cell r="B54">
            <v>7.6346465417801337E-2</v>
          </cell>
          <cell r="C54">
            <v>3.0589068517611867E-2</v>
          </cell>
          <cell r="D54">
            <v>4.2019391905420089E-2</v>
          </cell>
          <cell r="E54">
            <v>5.1702955116859725E-2</v>
          </cell>
          <cell r="F54">
            <v>-4.662013105811413E-3</v>
          </cell>
          <cell r="G54">
            <v>1.0501092569734883E-2</v>
          </cell>
          <cell r="H54">
            <v>2.6870489385784176E-2</v>
          </cell>
        </row>
        <row r="55">
          <cell r="A55">
            <v>43843</v>
          </cell>
          <cell r="B55">
            <v>2.669397674556128E-3</v>
          </cell>
          <cell r="C55">
            <v>3.3885814305003877E-2</v>
          </cell>
          <cell r="D55">
            <v>2.1241715384246938E-2</v>
          </cell>
          <cell r="E55">
            <v>2.3092751642922595E-2</v>
          </cell>
          <cell r="F55">
            <v>6.424642240612391E-2</v>
          </cell>
          <cell r="G55">
            <v>2.7063798719467597E-2</v>
          </cell>
          <cell r="H55">
            <v>1.9463131555308322E-2</v>
          </cell>
        </row>
        <row r="56">
          <cell r="A56">
            <v>43850</v>
          </cell>
          <cell r="B56">
            <v>3.4712082581809613E-2</v>
          </cell>
          <cell r="C56">
            <v>-1.9549258797518832E-2</v>
          </cell>
          <cell r="D56">
            <v>-6.9862402390320946E-2</v>
          </cell>
          <cell r="E56">
            <v>7.5805795736777369E-3</v>
          </cell>
          <cell r="F56">
            <v>8.9637199067297335E-2</v>
          </cell>
          <cell r="G56">
            <v>-1.9768401351406967E-2</v>
          </cell>
          <cell r="H56">
            <v>3.184261042153534E-3</v>
          </cell>
        </row>
      </sheetData>
      <sheetData sheetId="2"/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"/>
      <sheetName val="Set 1 - Task 1"/>
      <sheetName val="Set 2 - Task 1"/>
      <sheetName val="Set 3 - Task 1"/>
      <sheetName val="Set 1 - Task 2"/>
      <sheetName val="Set 2 - Task 2"/>
      <sheetName val="Set 3 - Task 2"/>
      <sheetName val="Set 1 - Task 3"/>
      <sheetName val="Set 2 - Task 3"/>
      <sheetName val="Set 3 - Task 3"/>
      <sheetName val="Set 1 - Task 4"/>
      <sheetName val="Set 2 - Task 4"/>
      <sheetName val="Set 3 - Task 4"/>
      <sheetName val="Task 5"/>
      <sheetName val="CustomVariables"/>
    </sheetNames>
    <sheetDataSet>
      <sheetData sheetId="0"/>
      <sheetData sheetId="1">
        <row r="5">
          <cell r="C5" t="str">
            <v>PLS</v>
          </cell>
        </row>
        <row r="6">
          <cell r="C6">
            <v>0.21205871888971681</v>
          </cell>
          <cell r="D6">
            <v>1.8182319083190547E-2</v>
          </cell>
        </row>
        <row r="7">
          <cell r="C7">
            <v>2.5158559636154931E-2</v>
          </cell>
          <cell r="D7">
            <v>-3.0490166757787276E-2</v>
          </cell>
        </row>
        <row r="8">
          <cell r="C8">
            <v>-7.0769070888207261E-2</v>
          </cell>
          <cell r="D8">
            <v>-1.2461220437812002E-2</v>
          </cell>
        </row>
        <row r="9">
          <cell r="C9">
            <v>3.9220713153281329E-2</v>
          </cell>
          <cell r="D9">
            <v>8.1247672272879781E-2</v>
          </cell>
        </row>
        <row r="10">
          <cell r="C10">
            <v>8.0042707673536356E-2</v>
          </cell>
          <cell r="D10">
            <v>4.2439183275156722E-2</v>
          </cell>
        </row>
        <row r="11">
          <cell r="C11">
            <v>0.1931112642153347</v>
          </cell>
          <cell r="D11">
            <v>-7.1766798369676685E-2</v>
          </cell>
        </row>
        <row r="12">
          <cell r="C12">
            <v>-0.10265415406008321</v>
          </cell>
          <cell r="D12">
            <v>-1.8018505502678365E-2</v>
          </cell>
        </row>
        <row r="13">
          <cell r="C13">
            <v>5.2643733485421881E-2</v>
          </cell>
          <cell r="D13">
            <v>3.5718082602079246E-2</v>
          </cell>
        </row>
        <row r="14">
          <cell r="C14">
            <v>5.4876610225834302E-2</v>
          </cell>
          <cell r="D14">
            <v>-6.3369613932589261E-2</v>
          </cell>
        </row>
        <row r="15">
          <cell r="C15">
            <v>-8.0852096629095024E-2</v>
          </cell>
          <cell r="D15">
            <v>3.1104224143925518E-3</v>
          </cell>
        </row>
      </sheetData>
      <sheetData sheetId="2">
        <row r="5">
          <cell r="C5" t="str">
            <v>AMP</v>
          </cell>
        </row>
        <row r="6">
          <cell r="C6">
            <v>-8.3160562416575053E-3</v>
          </cell>
          <cell r="D6">
            <v>-1.4750809758148253E-2</v>
          </cell>
        </row>
        <row r="7">
          <cell r="C7">
            <v>5.0875670660453405E-2</v>
          </cell>
          <cell r="D7">
            <v>1.8190194060057709E-2</v>
          </cell>
        </row>
        <row r="8">
          <cell r="C8">
            <v>7.9051795071132473E-3</v>
          </cell>
          <cell r="D8">
            <v>2.2072203355499215E-2</v>
          </cell>
        </row>
        <row r="9">
          <cell r="C9">
            <v>-2.390552085355448E-2</v>
          </cell>
          <cell r="D9">
            <v>8.3612527246834031E-3</v>
          </cell>
        </row>
        <row r="10">
          <cell r="C10">
            <v>1.798250255043227E-2</v>
          </cell>
          <cell r="D10">
            <v>-7.6994347269455921E-2</v>
          </cell>
        </row>
        <row r="11">
          <cell r="C11">
            <v>2.3484445233069327E-2</v>
          </cell>
          <cell r="D11">
            <v>-1.8001805041478545E-3</v>
          </cell>
        </row>
        <row r="12">
          <cell r="C12">
            <v>-7.7670293376596589E-3</v>
          </cell>
          <cell r="D12">
            <v>-9.0130695601277572E-4</v>
          </cell>
        </row>
        <row r="13">
          <cell r="C13">
            <v>0</v>
          </cell>
          <cell r="D13">
            <v>1.6100526689409138E-2</v>
          </cell>
        </row>
        <row r="14">
          <cell r="C14">
            <v>5.8309203107931437E-3</v>
          </cell>
          <cell r="D14">
            <v>5.1027065517894481E-2</v>
          </cell>
        </row>
        <row r="15">
          <cell r="C15">
            <v>1.347469858336019E-2</v>
          </cell>
          <cell r="D15">
            <v>-3.1694301708914976E-2</v>
          </cell>
        </row>
      </sheetData>
      <sheetData sheetId="3">
        <row r="5">
          <cell r="C5" t="str">
            <v>LLC</v>
          </cell>
        </row>
        <row r="6">
          <cell r="C6">
            <v>2.1529896524668985E-2</v>
          </cell>
          <cell r="D6">
            <v>-1.0230268250814922E-2</v>
          </cell>
        </row>
        <row r="7">
          <cell r="C7">
            <v>1.1403925146579941E-2</v>
          </cell>
          <cell r="D7">
            <v>1.2771565679487539E-2</v>
          </cell>
        </row>
        <row r="8">
          <cell r="C8">
            <v>-0.10045297094695781</v>
          </cell>
          <cell r="D8">
            <v>2.2585652648749288E-2</v>
          </cell>
        </row>
        <row r="9">
          <cell r="C9">
            <v>-4.1878613404747406E-3</v>
          </cell>
          <cell r="D9">
            <v>0</v>
          </cell>
        </row>
        <row r="10">
          <cell r="C10">
            <v>-1.8149379555740097E-2</v>
          </cell>
          <cell r="D10">
            <v>0</v>
          </cell>
        </row>
        <row r="11">
          <cell r="C11">
            <v>1.2136132332288337E-2</v>
          </cell>
          <cell r="D11">
            <v>3.8934357975454685E-2</v>
          </cell>
        </row>
        <row r="12">
          <cell r="C12">
            <v>-2.0719814973616985E-2</v>
          </cell>
          <cell r="D12">
            <v>-1.4423326961105052E-2</v>
          </cell>
        </row>
        <row r="13">
          <cell r="C13">
            <v>-1.176854746280483E-2</v>
          </cell>
          <cell r="D13">
            <v>1.4423326961105125E-2</v>
          </cell>
        </row>
        <row r="14">
          <cell r="C14">
            <v>-6.8771139086579759E-3</v>
          </cell>
          <cell r="D14">
            <v>9.5012591241402152E-3</v>
          </cell>
        </row>
        <row r="15">
          <cell r="C15">
            <v>9.9875986283484118E-3</v>
          </cell>
          <cell r="D15">
            <v>-2.3668650102662793E-3</v>
          </cell>
        </row>
      </sheetData>
      <sheetData sheetId="4"/>
      <sheetData sheetId="5"/>
      <sheetData sheetId="6"/>
      <sheetData sheetId="7">
        <row r="14">
          <cell r="C14">
            <v>0.5</v>
          </cell>
        </row>
        <row r="19">
          <cell r="C19">
            <v>0</v>
          </cell>
        </row>
      </sheetData>
      <sheetData sheetId="8">
        <row r="14">
          <cell r="C14">
            <v>0.5</v>
          </cell>
        </row>
        <row r="19">
          <cell r="C19">
            <v>0</v>
          </cell>
        </row>
      </sheetData>
      <sheetData sheetId="9">
        <row r="14">
          <cell r="C14">
            <v>0.5</v>
          </cell>
        </row>
        <row r="19">
          <cell r="C19">
            <v>0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"/>
      <sheetName val="Set 1 - Task 1"/>
      <sheetName val="Set 2 - Task 1"/>
      <sheetName val="Set 3 - Task 1"/>
      <sheetName val="Set 1 - Task 2"/>
      <sheetName val="Set 2 - Task 2"/>
      <sheetName val="Set 3 - Task 2"/>
      <sheetName val="Set 1 - Task 3"/>
      <sheetName val="Set 2 - Task 3"/>
      <sheetName val="Set 3 - Task 3"/>
      <sheetName val="Set 1 - Task 4"/>
      <sheetName val="Set 2 - Task 4"/>
      <sheetName val="Set 3 - Task 4"/>
      <sheetName val="Task 5"/>
      <sheetName val="CustomVariables"/>
    </sheetNames>
    <sheetDataSet>
      <sheetData sheetId="0"/>
      <sheetData sheetId="1">
        <row r="5">
          <cell r="C5" t="str">
            <v>PLS</v>
          </cell>
        </row>
        <row r="6">
          <cell r="C6">
            <v>0.21205871888971681</v>
          </cell>
          <cell r="D6">
            <v>1.8182319083190547E-2</v>
          </cell>
        </row>
        <row r="7">
          <cell r="C7">
            <v>2.5158559636154931E-2</v>
          </cell>
          <cell r="D7">
            <v>-3.0490166757787276E-2</v>
          </cell>
        </row>
        <row r="8">
          <cell r="C8">
            <v>-7.0769070888207261E-2</v>
          </cell>
          <cell r="D8">
            <v>-1.2461220437812002E-2</v>
          </cell>
        </row>
        <row r="9">
          <cell r="C9">
            <v>3.9220713153281329E-2</v>
          </cell>
          <cell r="D9">
            <v>8.1247672272879781E-2</v>
          </cell>
        </row>
        <row r="10">
          <cell r="C10">
            <v>8.0042707673536356E-2</v>
          </cell>
          <cell r="D10">
            <v>4.2439183275156722E-2</v>
          </cell>
        </row>
        <row r="11">
          <cell r="C11">
            <v>0.1931112642153347</v>
          </cell>
          <cell r="D11">
            <v>-7.1766798369676685E-2</v>
          </cell>
        </row>
        <row r="12">
          <cell r="C12">
            <v>-0.10265415406008321</v>
          </cell>
          <cell r="D12">
            <v>-1.8018505502678365E-2</v>
          </cell>
        </row>
        <row r="13">
          <cell r="C13">
            <v>5.2643733485421881E-2</v>
          </cell>
          <cell r="D13">
            <v>3.5718082602079246E-2</v>
          </cell>
        </row>
        <row r="14">
          <cell r="C14">
            <v>5.4876610225834302E-2</v>
          </cell>
          <cell r="D14">
            <v>-6.3369613932589261E-2</v>
          </cell>
        </row>
        <row r="15">
          <cell r="C15">
            <v>-8.0852096629095024E-2</v>
          </cell>
          <cell r="D15">
            <v>3.1104224143925518E-3</v>
          </cell>
        </row>
      </sheetData>
      <sheetData sheetId="2">
        <row r="5">
          <cell r="C5" t="str">
            <v>AMP</v>
          </cell>
        </row>
        <row r="6">
          <cell r="C6">
            <v>-8.3160562416575053E-3</v>
          </cell>
          <cell r="D6">
            <v>-1.4750809758148253E-2</v>
          </cell>
        </row>
        <row r="7">
          <cell r="C7">
            <v>5.0875670660453405E-2</v>
          </cell>
          <cell r="D7">
            <v>1.8190194060057709E-2</v>
          </cell>
        </row>
        <row r="8">
          <cell r="C8">
            <v>7.9051795071132473E-3</v>
          </cell>
          <cell r="D8">
            <v>2.2072203355499215E-2</v>
          </cell>
        </row>
        <row r="9">
          <cell r="C9">
            <v>-2.390552085355448E-2</v>
          </cell>
          <cell r="D9">
            <v>8.3612527246834031E-3</v>
          </cell>
        </row>
        <row r="10">
          <cell r="C10">
            <v>1.798250255043227E-2</v>
          </cell>
          <cell r="D10">
            <v>-7.6994347269455921E-2</v>
          </cell>
        </row>
        <row r="11">
          <cell r="C11">
            <v>2.3484445233069327E-2</v>
          </cell>
          <cell r="D11">
            <v>-1.8001805041478545E-3</v>
          </cell>
        </row>
        <row r="12">
          <cell r="C12">
            <v>-7.7670293376596589E-3</v>
          </cell>
          <cell r="D12">
            <v>-9.0130695601277572E-4</v>
          </cell>
        </row>
        <row r="13">
          <cell r="C13">
            <v>0</v>
          </cell>
          <cell r="D13">
            <v>1.6100526689409138E-2</v>
          </cell>
        </row>
        <row r="14">
          <cell r="C14">
            <v>5.8309203107931437E-3</v>
          </cell>
          <cell r="D14">
            <v>5.1027065517894481E-2</v>
          </cell>
        </row>
        <row r="15">
          <cell r="C15">
            <v>1.347469858336019E-2</v>
          </cell>
          <cell r="D15">
            <v>-3.1694301708914976E-2</v>
          </cell>
        </row>
      </sheetData>
      <sheetData sheetId="3">
        <row r="5">
          <cell r="C5" t="str">
            <v>LLC</v>
          </cell>
        </row>
        <row r="6">
          <cell r="C6">
            <v>2.1529896524668985E-2</v>
          </cell>
          <cell r="D6">
            <v>-1.0230268250814922E-2</v>
          </cell>
        </row>
        <row r="7">
          <cell r="C7">
            <v>1.1403925146579941E-2</v>
          </cell>
          <cell r="D7">
            <v>1.2771565679487539E-2</v>
          </cell>
        </row>
        <row r="8">
          <cell r="C8">
            <v>-0.10045297094695781</v>
          </cell>
          <cell r="D8">
            <v>2.2585652648749288E-2</v>
          </cell>
        </row>
        <row r="9">
          <cell r="C9">
            <v>-4.1878613404747406E-3</v>
          </cell>
          <cell r="D9">
            <v>0</v>
          </cell>
        </row>
        <row r="10">
          <cell r="C10">
            <v>-1.8149379555740097E-2</v>
          </cell>
          <cell r="D10">
            <v>0</v>
          </cell>
        </row>
        <row r="11">
          <cell r="C11">
            <v>1.2136132332288337E-2</v>
          </cell>
          <cell r="D11">
            <v>3.8934357975454685E-2</v>
          </cell>
        </row>
        <row r="12">
          <cell r="C12">
            <v>-2.0719814973616985E-2</v>
          </cell>
          <cell r="D12">
            <v>-1.4423326961105052E-2</v>
          </cell>
        </row>
        <row r="13">
          <cell r="C13">
            <v>-1.176854746280483E-2</v>
          </cell>
          <cell r="D13">
            <v>1.4423326961105125E-2</v>
          </cell>
        </row>
        <row r="14">
          <cell r="C14">
            <v>-6.8771139086579759E-3</v>
          </cell>
          <cell r="D14">
            <v>9.5012591241402152E-3</v>
          </cell>
        </row>
        <row r="15">
          <cell r="C15">
            <v>9.9875986283484118E-3</v>
          </cell>
          <cell r="D15">
            <v>-2.3668650102662793E-3</v>
          </cell>
        </row>
      </sheetData>
      <sheetData sheetId="4"/>
      <sheetData sheetId="5"/>
      <sheetData sheetId="6"/>
      <sheetData sheetId="7">
        <row r="14">
          <cell r="C14">
            <v>0.5</v>
          </cell>
        </row>
        <row r="19">
          <cell r="C19">
            <v>0</v>
          </cell>
        </row>
      </sheetData>
      <sheetData sheetId="8">
        <row r="14">
          <cell r="C14">
            <v>0.5</v>
          </cell>
        </row>
        <row r="19">
          <cell r="C19">
            <v>0</v>
          </cell>
        </row>
      </sheetData>
      <sheetData sheetId="9">
        <row r="14">
          <cell r="C14">
            <v>0.5</v>
          </cell>
        </row>
        <row r="19">
          <cell r="C19">
            <v>0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"/>
      <sheetName val="VarCov"/>
      <sheetName val="CustomVariables"/>
    </sheetNames>
    <sheetDataSet>
      <sheetData sheetId="0"/>
      <sheetData sheetId="1">
        <row r="5">
          <cell r="C5" t="str">
            <v>PLS</v>
          </cell>
          <cell r="D5" t="str">
            <v>S32</v>
          </cell>
          <cell r="E5" t="str">
            <v>AMP</v>
          </cell>
          <cell r="F5" t="str">
            <v>BEN</v>
          </cell>
          <cell r="G5" t="str">
            <v>LLC</v>
          </cell>
          <cell r="H5" t="str">
            <v>SCG</v>
          </cell>
        </row>
        <row r="6">
          <cell r="B6">
            <v>43009</v>
          </cell>
        </row>
        <row r="7">
          <cell r="B7">
            <v>43016</v>
          </cell>
        </row>
        <row r="8">
          <cell r="B8">
            <v>43023</v>
          </cell>
        </row>
        <row r="9">
          <cell r="B9">
            <v>43030</v>
          </cell>
        </row>
        <row r="10">
          <cell r="B10">
            <v>43037</v>
          </cell>
        </row>
        <row r="11">
          <cell r="B11">
            <v>43044</v>
          </cell>
        </row>
        <row r="12">
          <cell r="B12">
            <v>43051</v>
          </cell>
        </row>
        <row r="13">
          <cell r="B13">
            <v>43058</v>
          </cell>
        </row>
        <row r="14">
          <cell r="B14">
            <v>43065</v>
          </cell>
        </row>
        <row r="15">
          <cell r="B15">
            <v>43072</v>
          </cell>
        </row>
      </sheetData>
      <sheetData sheetId="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"/>
      <sheetName val="VarCov"/>
      <sheetName val="CustomVariables"/>
    </sheetNames>
    <sheetDataSet>
      <sheetData sheetId="0"/>
      <sheetData sheetId="1">
        <row r="5">
          <cell r="C5" t="str">
            <v>PLS</v>
          </cell>
          <cell r="D5" t="str">
            <v>S32</v>
          </cell>
          <cell r="E5" t="str">
            <v>AMP</v>
          </cell>
          <cell r="F5" t="str">
            <v>BEN</v>
          </cell>
          <cell r="G5" t="str">
            <v>LLC</v>
          </cell>
          <cell r="H5" t="str">
            <v>SCG</v>
          </cell>
        </row>
        <row r="6">
          <cell r="B6">
            <v>43009</v>
          </cell>
        </row>
        <row r="7">
          <cell r="B7">
            <v>43016</v>
          </cell>
        </row>
        <row r="8">
          <cell r="B8">
            <v>43023</v>
          </cell>
        </row>
        <row r="9">
          <cell r="B9">
            <v>43030</v>
          </cell>
        </row>
        <row r="10">
          <cell r="B10">
            <v>43037</v>
          </cell>
        </row>
        <row r="11">
          <cell r="B11">
            <v>43044</v>
          </cell>
        </row>
        <row r="12">
          <cell r="B12">
            <v>43051</v>
          </cell>
        </row>
        <row r="13">
          <cell r="B13">
            <v>43058</v>
          </cell>
        </row>
        <row r="14">
          <cell r="B14">
            <v>43065</v>
          </cell>
        </row>
        <row r="15">
          <cell r="B15">
            <v>43072</v>
          </cell>
        </row>
      </sheetData>
      <sheetData sheetId="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"/>
      <sheetName val="Set 1 - Task 1"/>
      <sheetName val="Set 2 - Task 1"/>
      <sheetName val="Set 3 - Task 1"/>
      <sheetName val="Task 2"/>
      <sheetName val="CustomVariables"/>
      <sheetName val="Four-Asset Portfolio"/>
    </sheetNames>
    <sheetDataSet>
      <sheetData sheetId="0"/>
      <sheetData sheetId="1">
        <row r="5">
          <cell r="D5" t="str">
            <v>PLS</v>
          </cell>
          <cell r="E5" t="str">
            <v>S32</v>
          </cell>
        </row>
      </sheetData>
      <sheetData sheetId="2">
        <row r="5">
          <cell r="D5" t="str">
            <v>AMP</v>
          </cell>
          <cell r="E5" t="str">
            <v>BEN</v>
          </cell>
        </row>
      </sheetData>
      <sheetData sheetId="3">
        <row r="5">
          <cell r="D5" t="str">
            <v>LLC</v>
          </cell>
          <cell r="E5" t="str">
            <v>SCG</v>
          </cell>
        </row>
      </sheetData>
      <sheetData sheetId="4"/>
      <sheetData sheetId="5"/>
      <sheetData sheetId="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"/>
      <sheetName val="Set 1 - Task 1"/>
      <sheetName val="Set 2 - Task 1"/>
      <sheetName val="Set 3 - Task 1"/>
      <sheetName val="Task 2"/>
      <sheetName val="CustomVariables"/>
      <sheetName val="Four-Asset Portfolio"/>
    </sheetNames>
    <sheetDataSet>
      <sheetData sheetId="0"/>
      <sheetData sheetId="1">
        <row r="5">
          <cell r="D5" t="str">
            <v>PLS</v>
          </cell>
          <cell r="E5" t="str">
            <v>S32</v>
          </cell>
        </row>
      </sheetData>
      <sheetData sheetId="2">
        <row r="5">
          <cell r="D5" t="str">
            <v>AMP</v>
          </cell>
          <cell r="E5" t="str">
            <v>BEN</v>
          </cell>
        </row>
      </sheetData>
      <sheetData sheetId="3">
        <row r="5">
          <cell r="D5" t="str">
            <v>LLC</v>
          </cell>
          <cell r="E5" t="str">
            <v>SCG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E05B7-3F03-46AC-8BC8-E8830E023C47}">
  <sheetPr codeName="Sheet2"/>
  <dimension ref="A1"/>
  <sheetViews>
    <sheetView workbookViewId="0">
      <selection activeCell="Q5" sqref="Q5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C9BB1-B665-492F-A418-89F46270F289}">
  <sheetPr codeName="Sheet1"/>
  <dimension ref="A8:F357"/>
  <sheetViews>
    <sheetView tabSelected="1" topLeftCell="A28" zoomScale="130" zoomScaleNormal="130" workbookViewId="0">
      <selection activeCell="O10" sqref="O10"/>
    </sheetView>
  </sheetViews>
  <sheetFormatPr defaultRowHeight="14.4" x14ac:dyDescent="0.3"/>
  <cols>
    <col min="1" max="1" width="10.6640625" bestFit="1" customWidth="1"/>
    <col min="2" max="2" width="10.5546875" bestFit="1" customWidth="1"/>
    <col min="3" max="3" width="14" bestFit="1" customWidth="1"/>
    <col min="4" max="4" width="12" bestFit="1" customWidth="1"/>
    <col min="5" max="5" width="9" bestFit="1" customWidth="1"/>
    <col min="6" max="7" width="11.109375" bestFit="1" customWidth="1"/>
    <col min="8" max="8" width="9.88671875" bestFit="1" customWidth="1"/>
    <col min="9" max="9" width="12" bestFit="1" customWidth="1"/>
    <col min="10" max="10" width="9" bestFit="1" customWidth="1"/>
    <col min="11" max="11" width="11.109375" bestFit="1" customWidth="1"/>
  </cols>
  <sheetData>
    <row r="8" spans="1:5" x14ac:dyDescent="0.3">
      <c r="A8" s="14" t="s">
        <v>17</v>
      </c>
      <c r="B8" s="14"/>
      <c r="C8" s="14"/>
      <c r="D8" s="14"/>
    </row>
    <row r="9" spans="1:5" x14ac:dyDescent="0.3">
      <c r="A9" s="3" t="s">
        <v>0</v>
      </c>
      <c r="B9" s="3" t="s">
        <v>1</v>
      </c>
      <c r="C9" s="3" t="s">
        <v>2</v>
      </c>
      <c r="D9" s="3" t="s">
        <v>27</v>
      </c>
      <c r="E9" s="2" t="s">
        <v>10</v>
      </c>
    </row>
    <row r="10" spans="1:5" x14ac:dyDescent="0.3">
      <c r="A10" s="1">
        <v>100001</v>
      </c>
      <c r="B10" s="1" t="s">
        <v>3</v>
      </c>
      <c r="C10" s="8">
        <f t="array" ref="C10:D17">averagehours(daytimestaff,times)</f>
        <v>7.2378205128205133</v>
      </c>
      <c r="D10" s="9">
        <v>443.60601923076928</v>
      </c>
      <c r="E10" s="6">
        <v>410.91801923076918</v>
      </c>
    </row>
    <row r="11" spans="1:5" x14ac:dyDescent="0.3">
      <c r="A11" s="1">
        <v>100002</v>
      </c>
      <c r="B11" s="1" t="s">
        <v>6</v>
      </c>
      <c r="C11" s="8">
        <v>7.5223484848484867</v>
      </c>
      <c r="D11" s="9">
        <v>461.04473863636372</v>
      </c>
    </row>
    <row r="12" spans="1:5" x14ac:dyDescent="0.3">
      <c r="A12" s="1">
        <v>100004</v>
      </c>
      <c r="B12" s="1" t="s">
        <v>9</v>
      </c>
      <c r="C12" s="8">
        <v>7.5223484848484867</v>
      </c>
      <c r="D12" s="9">
        <v>461.04473863636372</v>
      </c>
    </row>
    <row r="13" spans="1:5" x14ac:dyDescent="0.3">
      <c r="A13" s="1">
        <v>100005</v>
      </c>
      <c r="B13" s="1" t="s">
        <v>4</v>
      </c>
      <c r="C13" s="8">
        <v>7.3127450980392155</v>
      </c>
      <c r="D13" s="9">
        <v>448.19814705882351</v>
      </c>
    </row>
    <row r="14" spans="1:5" x14ac:dyDescent="0.3">
      <c r="A14" s="1">
        <v>100006</v>
      </c>
      <c r="B14" s="1" t="s">
        <v>5</v>
      </c>
      <c r="C14" s="8">
        <v>7.1904513888888895</v>
      </c>
      <c r="D14" s="9">
        <v>440.70276562500004</v>
      </c>
    </row>
    <row r="15" spans="1:5" x14ac:dyDescent="0.3">
      <c r="A15" s="1">
        <v>100010</v>
      </c>
      <c r="B15" s="1" t="s">
        <v>7</v>
      </c>
      <c r="C15" s="8">
        <v>7.1892473118279607</v>
      </c>
      <c r="D15" s="9">
        <v>440.6289677419357</v>
      </c>
    </row>
    <row r="16" spans="1:5" x14ac:dyDescent="0.3">
      <c r="A16" s="1">
        <v>100015</v>
      </c>
      <c r="B16" s="1" t="s">
        <v>8</v>
      </c>
      <c r="C16" s="8">
        <v>7.2121621621621657</v>
      </c>
      <c r="D16" s="9">
        <v>442.03341891891915</v>
      </c>
    </row>
    <row r="17" spans="1:5" x14ac:dyDescent="0.3">
      <c r="A17" s="5" t="s">
        <v>16</v>
      </c>
      <c r="B17" s="5"/>
      <c r="C17" s="10">
        <v>7.3124462062051032</v>
      </c>
      <c r="D17" s="11">
        <v>448.17982797831075</v>
      </c>
    </row>
    <row r="18" spans="1:5" x14ac:dyDescent="0.3">
      <c r="C18" s="4"/>
    </row>
    <row r="19" spans="1:5" x14ac:dyDescent="0.3">
      <c r="C19" s="4"/>
    </row>
    <row r="20" spans="1:5" x14ac:dyDescent="0.3">
      <c r="C20" s="4"/>
    </row>
    <row r="21" spans="1:5" x14ac:dyDescent="0.3">
      <c r="C21" s="4"/>
    </row>
    <row r="22" spans="1:5" x14ac:dyDescent="0.3">
      <c r="C22" s="4"/>
    </row>
    <row r="23" spans="1:5" x14ac:dyDescent="0.3">
      <c r="C23" s="4"/>
    </row>
    <row r="25" spans="1:5" x14ac:dyDescent="0.3">
      <c r="A25" s="14" t="s">
        <v>18</v>
      </c>
      <c r="B25" s="14"/>
      <c r="C25" s="14"/>
      <c r="D25" s="14"/>
    </row>
    <row r="26" spans="1:5" x14ac:dyDescent="0.3">
      <c r="A26" s="3" t="s">
        <v>0</v>
      </c>
      <c r="B26" s="3" t="s">
        <v>1</v>
      </c>
      <c r="C26" s="3" t="s">
        <v>2</v>
      </c>
      <c r="D26" s="3" t="s">
        <v>27</v>
      </c>
    </row>
    <row r="27" spans="1:5" x14ac:dyDescent="0.3">
      <c r="A27" s="1">
        <v>100003</v>
      </c>
      <c r="B27" s="1" t="s">
        <v>20</v>
      </c>
      <c r="C27" s="8">
        <f t="array" ref="C27:D35">averagehours(eveningstaff,times)</f>
        <v>7.0266666666666664</v>
      </c>
      <c r="D27" s="9">
        <v>430.6644</v>
      </c>
      <c r="E27" s="7"/>
    </row>
    <row r="28" spans="1:5" x14ac:dyDescent="0.3">
      <c r="A28" s="1">
        <v>100007</v>
      </c>
      <c r="B28" s="1" t="s">
        <v>23</v>
      </c>
      <c r="C28" s="8">
        <v>6.3233333333333359</v>
      </c>
      <c r="D28" s="9">
        <v>387.55710000000016</v>
      </c>
    </row>
    <row r="29" spans="1:5" x14ac:dyDescent="0.3">
      <c r="A29" s="1">
        <v>100008</v>
      </c>
      <c r="B29" s="1" t="s">
        <v>25</v>
      </c>
      <c r="C29" s="8">
        <v>6.5286821705426377</v>
      </c>
      <c r="D29" s="9">
        <v>400.14293023255823</v>
      </c>
    </row>
    <row r="30" spans="1:5" x14ac:dyDescent="0.3">
      <c r="A30" s="1">
        <v>100009</v>
      </c>
      <c r="B30" s="1" t="s">
        <v>19</v>
      </c>
      <c r="C30" s="8">
        <v>6.5286821705426377</v>
      </c>
      <c r="D30" s="9">
        <v>400.14293023255823</v>
      </c>
    </row>
    <row r="31" spans="1:5" x14ac:dyDescent="0.3">
      <c r="A31" s="1">
        <v>100011</v>
      </c>
      <c r="B31" s="1" t="s">
        <v>26</v>
      </c>
      <c r="C31" s="8">
        <v>6.4457575757575771</v>
      </c>
      <c r="D31" s="9">
        <v>395.06048181818187</v>
      </c>
    </row>
    <row r="32" spans="1:5" x14ac:dyDescent="0.3">
      <c r="A32" s="1">
        <v>100012</v>
      </c>
      <c r="B32" s="1" t="s">
        <v>22</v>
      </c>
      <c r="C32" s="8">
        <v>6.3799516908212563</v>
      </c>
      <c r="D32" s="9">
        <v>391.02723913043479</v>
      </c>
    </row>
    <row r="33" spans="1:6" x14ac:dyDescent="0.3">
      <c r="A33" s="1">
        <v>100013</v>
      </c>
      <c r="B33" s="1" t="s">
        <v>21</v>
      </c>
      <c r="C33" s="8">
        <v>6.3582159624413146</v>
      </c>
      <c r="D33" s="9">
        <v>389.69505633802817</v>
      </c>
    </row>
    <row r="34" spans="1:6" x14ac:dyDescent="0.3">
      <c r="A34" s="1">
        <v>100014</v>
      </c>
      <c r="B34" s="1" t="s">
        <v>24</v>
      </c>
      <c r="C34" s="8">
        <v>6.3395299145299138</v>
      </c>
      <c r="D34" s="9">
        <v>388.54978846153841</v>
      </c>
    </row>
    <row r="35" spans="1:6" x14ac:dyDescent="0.3">
      <c r="A35" s="5" t="s">
        <v>16</v>
      </c>
      <c r="B35" s="5"/>
      <c r="C35" s="10">
        <v>6.491352435579417</v>
      </c>
      <c r="D35" s="11">
        <v>397.85499077666248</v>
      </c>
      <c r="E35" s="4"/>
    </row>
    <row r="42" spans="1:6" x14ac:dyDescent="0.3">
      <c r="A42" s="3" t="s">
        <v>15</v>
      </c>
      <c r="B42" s="3" t="s">
        <v>0</v>
      </c>
      <c r="C42" s="3" t="s">
        <v>11</v>
      </c>
      <c r="D42" s="3" t="s">
        <v>12</v>
      </c>
      <c r="E42" s="3" t="s">
        <v>13</v>
      </c>
      <c r="F42" s="3" t="s">
        <v>14</v>
      </c>
    </row>
    <row r="43" spans="1:6" x14ac:dyDescent="0.3">
      <c r="A43" s="13">
        <v>44403</v>
      </c>
      <c r="B43" s="1">
        <v>100001</v>
      </c>
      <c r="C43" s="1">
        <v>12</v>
      </c>
      <c r="D43" s="1">
        <v>44</v>
      </c>
      <c r="E43" s="1">
        <v>19</v>
      </c>
      <c r="F43" s="1">
        <v>7</v>
      </c>
    </row>
    <row r="44" spans="1:6" x14ac:dyDescent="0.3">
      <c r="A44" s="13">
        <v>44403</v>
      </c>
      <c r="B44" s="1">
        <v>100002</v>
      </c>
      <c r="C44" s="1">
        <v>9</v>
      </c>
      <c r="D44" s="1">
        <v>10</v>
      </c>
      <c r="E44" s="1">
        <v>17</v>
      </c>
      <c r="F44" s="1">
        <v>17</v>
      </c>
    </row>
    <row r="45" spans="1:6" x14ac:dyDescent="0.3">
      <c r="A45" s="13">
        <v>44403</v>
      </c>
      <c r="B45" s="1">
        <v>100005</v>
      </c>
      <c r="C45" s="1">
        <v>12</v>
      </c>
      <c r="D45" s="1">
        <v>55</v>
      </c>
      <c r="E45" s="1">
        <v>16</v>
      </c>
      <c r="F45" s="1">
        <v>45</v>
      </c>
    </row>
    <row r="46" spans="1:6" x14ac:dyDescent="0.3">
      <c r="A46" s="13">
        <v>44403</v>
      </c>
      <c r="B46" s="1">
        <v>100006</v>
      </c>
      <c r="C46" s="1">
        <v>11</v>
      </c>
      <c r="D46" s="1">
        <v>9</v>
      </c>
      <c r="E46" s="1">
        <v>18</v>
      </c>
      <c r="F46" s="1">
        <v>39</v>
      </c>
    </row>
    <row r="47" spans="1:6" x14ac:dyDescent="0.3">
      <c r="A47" s="13">
        <v>44403</v>
      </c>
      <c r="B47" s="1">
        <v>100010</v>
      </c>
      <c r="C47" s="1">
        <v>10</v>
      </c>
      <c r="D47" s="1">
        <v>14</v>
      </c>
      <c r="E47" s="1">
        <v>18</v>
      </c>
      <c r="F47" s="1">
        <v>33</v>
      </c>
    </row>
    <row r="48" spans="1:6" x14ac:dyDescent="0.3">
      <c r="A48" s="13">
        <v>44403</v>
      </c>
      <c r="B48" s="1">
        <v>100015</v>
      </c>
      <c r="C48" s="1">
        <v>9</v>
      </c>
      <c r="D48" s="1">
        <v>19</v>
      </c>
      <c r="E48" s="1">
        <v>17</v>
      </c>
      <c r="F48" s="1">
        <v>26</v>
      </c>
    </row>
    <row r="49" spans="1:6" x14ac:dyDescent="0.3">
      <c r="A49" s="13">
        <v>44403</v>
      </c>
      <c r="B49" s="1">
        <v>100007</v>
      </c>
      <c r="C49" s="1">
        <v>13</v>
      </c>
      <c r="D49" s="1">
        <v>43</v>
      </c>
      <c r="E49" s="1">
        <v>20</v>
      </c>
      <c r="F49" s="1">
        <v>31</v>
      </c>
    </row>
    <row r="50" spans="1:6" x14ac:dyDescent="0.3">
      <c r="A50" s="13">
        <v>44403</v>
      </c>
      <c r="B50" s="1">
        <v>100011</v>
      </c>
      <c r="C50" s="1">
        <v>13</v>
      </c>
      <c r="D50" s="1">
        <v>6</v>
      </c>
      <c r="E50" s="1">
        <v>20</v>
      </c>
      <c r="F50" s="1">
        <v>10</v>
      </c>
    </row>
    <row r="51" spans="1:6" x14ac:dyDescent="0.3">
      <c r="A51" s="13">
        <v>44403</v>
      </c>
      <c r="B51" s="1">
        <v>100012</v>
      </c>
      <c r="C51" s="1"/>
      <c r="D51" s="1"/>
      <c r="E51" s="1"/>
      <c r="F51" s="1"/>
    </row>
    <row r="52" spans="1:6" x14ac:dyDescent="0.3">
      <c r="A52" s="13">
        <v>44404</v>
      </c>
      <c r="B52" s="1">
        <v>100001</v>
      </c>
      <c r="C52" s="1">
        <v>12</v>
      </c>
      <c r="D52" s="1">
        <v>45</v>
      </c>
      <c r="E52" s="1">
        <v>16</v>
      </c>
      <c r="F52" s="1">
        <v>0</v>
      </c>
    </row>
    <row r="53" spans="1:6" x14ac:dyDescent="0.3">
      <c r="A53" s="13">
        <v>44404</v>
      </c>
      <c r="B53" s="1">
        <v>100002</v>
      </c>
      <c r="C53" s="1">
        <v>10</v>
      </c>
      <c r="D53" s="1">
        <v>31</v>
      </c>
      <c r="E53" s="1"/>
      <c r="F53" s="1"/>
    </row>
    <row r="54" spans="1:6" x14ac:dyDescent="0.3">
      <c r="A54" s="13">
        <v>44404</v>
      </c>
      <c r="B54" s="1">
        <v>100005</v>
      </c>
      <c r="C54" s="1">
        <v>10</v>
      </c>
      <c r="D54" s="1">
        <v>17</v>
      </c>
      <c r="E54" s="1">
        <v>19</v>
      </c>
      <c r="F54" s="1">
        <v>34</v>
      </c>
    </row>
    <row r="55" spans="1:6" x14ac:dyDescent="0.3">
      <c r="A55" s="13">
        <v>44404</v>
      </c>
      <c r="B55" s="1">
        <v>100006</v>
      </c>
      <c r="C55" s="1">
        <v>11</v>
      </c>
      <c r="D55" s="1">
        <v>17</v>
      </c>
      <c r="E55" s="1">
        <v>20</v>
      </c>
      <c r="F55" s="1">
        <v>15</v>
      </c>
    </row>
    <row r="56" spans="1:6" x14ac:dyDescent="0.3">
      <c r="A56" s="13">
        <v>44404</v>
      </c>
      <c r="B56" s="1">
        <v>100010</v>
      </c>
      <c r="C56" s="1">
        <v>11</v>
      </c>
      <c r="D56" s="1">
        <v>43</v>
      </c>
      <c r="E56" s="1"/>
      <c r="F56" s="1"/>
    </row>
    <row r="57" spans="1:6" x14ac:dyDescent="0.3">
      <c r="A57" s="13">
        <v>44404</v>
      </c>
      <c r="B57" s="1">
        <v>100015</v>
      </c>
      <c r="C57" s="1">
        <v>10</v>
      </c>
      <c r="D57" s="1">
        <v>6</v>
      </c>
      <c r="E57" s="1">
        <v>18</v>
      </c>
      <c r="F57" s="1">
        <v>1</v>
      </c>
    </row>
    <row r="58" spans="1:6" x14ac:dyDescent="0.3">
      <c r="A58" s="13">
        <v>44404</v>
      </c>
      <c r="B58" s="1">
        <v>100007</v>
      </c>
      <c r="C58" s="1">
        <v>12</v>
      </c>
      <c r="D58" s="1">
        <v>10</v>
      </c>
      <c r="E58" s="1">
        <v>20</v>
      </c>
      <c r="F58" s="1">
        <v>42</v>
      </c>
    </row>
    <row r="59" spans="1:6" x14ac:dyDescent="0.3">
      <c r="A59" s="13">
        <v>44404</v>
      </c>
      <c r="B59" s="1">
        <v>100011</v>
      </c>
      <c r="C59" s="1"/>
      <c r="D59" s="1"/>
      <c r="E59" s="1"/>
      <c r="F59" s="1"/>
    </row>
    <row r="60" spans="1:6" x14ac:dyDescent="0.3">
      <c r="A60" s="13">
        <v>44405</v>
      </c>
      <c r="B60" s="1">
        <v>100001</v>
      </c>
      <c r="C60" s="1">
        <v>10</v>
      </c>
      <c r="D60" s="1">
        <v>57</v>
      </c>
      <c r="E60" s="1">
        <v>20</v>
      </c>
      <c r="F60" s="1">
        <v>26</v>
      </c>
    </row>
    <row r="61" spans="1:6" x14ac:dyDescent="0.3">
      <c r="A61" s="13">
        <v>44405</v>
      </c>
      <c r="B61" s="1">
        <v>100002</v>
      </c>
      <c r="C61" s="1"/>
      <c r="D61" s="1"/>
      <c r="E61" s="1"/>
      <c r="F61" s="1"/>
    </row>
    <row r="62" spans="1:6" x14ac:dyDescent="0.3">
      <c r="A62" s="13">
        <v>44405</v>
      </c>
      <c r="B62" s="1">
        <v>100006</v>
      </c>
      <c r="C62" s="1">
        <v>12</v>
      </c>
      <c r="D62" s="1">
        <v>17</v>
      </c>
      <c r="E62" s="1">
        <v>17</v>
      </c>
      <c r="F62" s="1">
        <v>24</v>
      </c>
    </row>
    <row r="63" spans="1:6" x14ac:dyDescent="0.3">
      <c r="A63" s="13">
        <v>44405</v>
      </c>
      <c r="B63" s="1">
        <v>100010</v>
      </c>
      <c r="C63" s="1">
        <v>10</v>
      </c>
      <c r="D63" s="1">
        <v>30</v>
      </c>
      <c r="E63" s="1">
        <v>18</v>
      </c>
      <c r="F63" s="1">
        <v>42</v>
      </c>
    </row>
    <row r="64" spans="1:6" x14ac:dyDescent="0.3">
      <c r="A64" s="13">
        <v>44405</v>
      </c>
      <c r="B64" s="1">
        <v>100015</v>
      </c>
      <c r="C64" s="1">
        <v>11</v>
      </c>
      <c r="D64" s="1">
        <v>47</v>
      </c>
      <c r="E64" s="1">
        <v>20</v>
      </c>
      <c r="F64" s="1">
        <v>4</v>
      </c>
    </row>
    <row r="65" spans="1:6" x14ac:dyDescent="0.3">
      <c r="A65" s="13">
        <v>44405</v>
      </c>
      <c r="B65" s="1">
        <v>100003</v>
      </c>
      <c r="C65" s="1">
        <v>11</v>
      </c>
      <c r="D65" s="1">
        <v>5</v>
      </c>
      <c r="E65" s="1">
        <v>21</v>
      </c>
      <c r="F65" s="1">
        <v>37</v>
      </c>
    </row>
    <row r="66" spans="1:6" x14ac:dyDescent="0.3">
      <c r="A66" s="13">
        <v>44405</v>
      </c>
      <c r="B66" s="1">
        <v>100007</v>
      </c>
      <c r="C66" s="1">
        <v>11</v>
      </c>
      <c r="D66" s="1">
        <v>51</v>
      </c>
      <c r="E66" s="1">
        <v>22</v>
      </c>
      <c r="F66" s="1">
        <v>39</v>
      </c>
    </row>
    <row r="67" spans="1:6" x14ac:dyDescent="0.3">
      <c r="A67" s="13">
        <v>44405</v>
      </c>
      <c r="B67" s="1">
        <v>100008</v>
      </c>
      <c r="C67" s="1">
        <v>12</v>
      </c>
      <c r="D67" s="1">
        <v>27</v>
      </c>
      <c r="E67" s="1">
        <v>22</v>
      </c>
      <c r="F67" s="1">
        <v>21</v>
      </c>
    </row>
    <row r="68" spans="1:6" x14ac:dyDescent="0.3">
      <c r="A68" s="13">
        <v>44406</v>
      </c>
      <c r="B68" s="1">
        <v>100001</v>
      </c>
      <c r="C68" s="1">
        <v>9</v>
      </c>
      <c r="D68" s="1">
        <v>31</v>
      </c>
      <c r="E68" s="1">
        <v>17</v>
      </c>
      <c r="F68" s="1">
        <v>14</v>
      </c>
    </row>
    <row r="69" spans="1:6" x14ac:dyDescent="0.3">
      <c r="A69" s="13">
        <v>44406</v>
      </c>
      <c r="B69" s="1">
        <v>100002</v>
      </c>
      <c r="C69" s="1"/>
      <c r="D69" s="1"/>
      <c r="E69" s="1"/>
      <c r="F69" s="1"/>
    </row>
    <row r="70" spans="1:6" x14ac:dyDescent="0.3">
      <c r="A70" s="13">
        <v>44406</v>
      </c>
      <c r="B70" s="1">
        <v>100005</v>
      </c>
      <c r="C70" s="1">
        <v>11</v>
      </c>
      <c r="D70" s="1">
        <v>44</v>
      </c>
      <c r="E70" s="1">
        <v>18</v>
      </c>
      <c r="F70" s="1">
        <v>43</v>
      </c>
    </row>
    <row r="71" spans="1:6" x14ac:dyDescent="0.3">
      <c r="A71" s="13">
        <v>44406</v>
      </c>
      <c r="B71" s="1">
        <v>100006</v>
      </c>
      <c r="C71" s="1">
        <v>11</v>
      </c>
      <c r="D71" s="1">
        <v>30</v>
      </c>
      <c r="E71" s="1">
        <v>17</v>
      </c>
      <c r="F71" s="1">
        <v>25</v>
      </c>
    </row>
    <row r="72" spans="1:6" x14ac:dyDescent="0.3">
      <c r="A72" s="13">
        <v>44406</v>
      </c>
      <c r="B72" s="1">
        <v>100010</v>
      </c>
      <c r="C72" s="1">
        <v>12</v>
      </c>
      <c r="D72" s="1">
        <v>17</v>
      </c>
      <c r="E72" s="1">
        <v>19</v>
      </c>
      <c r="F72" s="1">
        <v>10</v>
      </c>
    </row>
    <row r="73" spans="1:6" x14ac:dyDescent="0.3">
      <c r="A73" s="13">
        <v>44406</v>
      </c>
      <c r="B73" s="1">
        <v>100015</v>
      </c>
      <c r="C73" s="1">
        <v>9</v>
      </c>
      <c r="D73" s="1">
        <v>47</v>
      </c>
      <c r="E73" s="1">
        <v>18</v>
      </c>
      <c r="F73" s="1">
        <v>6</v>
      </c>
    </row>
    <row r="74" spans="1:6" x14ac:dyDescent="0.3">
      <c r="A74" s="13">
        <v>44406</v>
      </c>
      <c r="B74" s="1">
        <v>100007</v>
      </c>
      <c r="C74" s="1">
        <v>16</v>
      </c>
      <c r="D74" s="1">
        <v>3</v>
      </c>
      <c r="E74" s="1">
        <v>21</v>
      </c>
      <c r="F74" s="1">
        <v>48</v>
      </c>
    </row>
    <row r="75" spans="1:6" x14ac:dyDescent="0.3">
      <c r="A75" s="13">
        <v>44406</v>
      </c>
      <c r="B75" s="1">
        <v>100008</v>
      </c>
      <c r="C75" s="1">
        <v>16</v>
      </c>
      <c r="D75" s="1">
        <v>4</v>
      </c>
      <c r="E75" s="1">
        <v>22</v>
      </c>
      <c r="F75" s="1">
        <v>3</v>
      </c>
    </row>
    <row r="76" spans="1:6" x14ac:dyDescent="0.3">
      <c r="A76" s="13">
        <v>44406</v>
      </c>
      <c r="B76" s="1">
        <v>100011</v>
      </c>
      <c r="C76" s="1">
        <v>17</v>
      </c>
      <c r="D76" s="1">
        <v>26</v>
      </c>
      <c r="E76" s="1">
        <v>20</v>
      </c>
      <c r="F76" s="1">
        <v>4</v>
      </c>
    </row>
    <row r="77" spans="1:6" x14ac:dyDescent="0.3">
      <c r="A77" s="13">
        <v>44406</v>
      </c>
      <c r="B77" s="1">
        <v>100012</v>
      </c>
      <c r="C77" s="1">
        <v>16</v>
      </c>
      <c r="D77" s="1">
        <v>34</v>
      </c>
      <c r="E77" s="1">
        <v>21</v>
      </c>
      <c r="F77" s="1">
        <v>22</v>
      </c>
    </row>
    <row r="78" spans="1:6" x14ac:dyDescent="0.3">
      <c r="A78" s="13">
        <v>44406</v>
      </c>
      <c r="B78" s="1">
        <v>100014</v>
      </c>
      <c r="C78" s="1">
        <v>14</v>
      </c>
      <c r="D78" s="1">
        <v>51</v>
      </c>
      <c r="E78" s="1"/>
      <c r="F78" s="1"/>
    </row>
    <row r="79" spans="1:6" x14ac:dyDescent="0.3">
      <c r="A79" s="13">
        <v>44407</v>
      </c>
      <c r="B79" s="1">
        <v>100001</v>
      </c>
      <c r="C79" s="1">
        <v>9</v>
      </c>
      <c r="D79" s="1">
        <v>9</v>
      </c>
      <c r="E79" s="1">
        <v>16</v>
      </c>
      <c r="F79" s="1">
        <v>26</v>
      </c>
    </row>
    <row r="80" spans="1:6" x14ac:dyDescent="0.3">
      <c r="A80" s="13">
        <v>44407</v>
      </c>
      <c r="B80" s="1">
        <v>100002</v>
      </c>
      <c r="C80" s="1"/>
      <c r="D80" s="1"/>
      <c r="E80" s="1"/>
      <c r="F80" s="1"/>
    </row>
    <row r="81" spans="1:6" x14ac:dyDescent="0.3">
      <c r="A81" s="13">
        <v>44407</v>
      </c>
      <c r="B81" s="1">
        <v>100005</v>
      </c>
      <c r="C81" s="1">
        <v>12</v>
      </c>
      <c r="D81" s="1">
        <v>25</v>
      </c>
      <c r="E81" s="1">
        <v>17</v>
      </c>
      <c r="F81" s="1">
        <v>44</v>
      </c>
    </row>
    <row r="82" spans="1:6" x14ac:dyDescent="0.3">
      <c r="A82" s="13">
        <v>44407</v>
      </c>
      <c r="B82" s="1">
        <v>100015</v>
      </c>
      <c r="C82" s="1">
        <v>9</v>
      </c>
      <c r="D82" s="1">
        <v>40</v>
      </c>
      <c r="E82" s="1"/>
      <c r="F82" s="1"/>
    </row>
    <row r="83" spans="1:6" x14ac:dyDescent="0.3">
      <c r="A83" s="13">
        <v>44407</v>
      </c>
      <c r="B83" s="1">
        <v>100007</v>
      </c>
      <c r="C83" s="1">
        <v>16</v>
      </c>
      <c r="D83" s="1">
        <v>19</v>
      </c>
      <c r="E83" s="1">
        <v>20</v>
      </c>
      <c r="F83" s="1">
        <v>46</v>
      </c>
    </row>
    <row r="84" spans="1:6" x14ac:dyDescent="0.3">
      <c r="A84" s="13">
        <v>44407</v>
      </c>
      <c r="B84" s="1">
        <v>100008</v>
      </c>
      <c r="C84" s="1">
        <v>14</v>
      </c>
      <c r="D84" s="1">
        <v>45</v>
      </c>
      <c r="E84" s="1">
        <v>20</v>
      </c>
      <c r="F84" s="1">
        <v>34</v>
      </c>
    </row>
    <row r="85" spans="1:6" x14ac:dyDescent="0.3">
      <c r="A85" s="13">
        <v>44410</v>
      </c>
      <c r="B85" s="1">
        <v>100001</v>
      </c>
      <c r="C85" s="1">
        <v>8</v>
      </c>
      <c r="D85" s="1">
        <v>45</v>
      </c>
      <c r="E85" s="1">
        <v>17</v>
      </c>
      <c r="F85" s="1">
        <v>1</v>
      </c>
    </row>
    <row r="86" spans="1:6" x14ac:dyDescent="0.3">
      <c r="A86" s="13">
        <v>44410</v>
      </c>
      <c r="B86" s="1">
        <v>100002</v>
      </c>
      <c r="C86" s="1">
        <v>11</v>
      </c>
      <c r="D86" s="1">
        <v>55</v>
      </c>
      <c r="E86" s="1">
        <v>19</v>
      </c>
      <c r="F86" s="1">
        <v>50</v>
      </c>
    </row>
    <row r="87" spans="1:6" x14ac:dyDescent="0.3">
      <c r="A87" s="13">
        <v>44410</v>
      </c>
      <c r="B87" s="1">
        <v>100005</v>
      </c>
      <c r="C87" s="1">
        <v>12</v>
      </c>
      <c r="D87" s="1">
        <v>24</v>
      </c>
      <c r="E87" s="1"/>
      <c r="F87" s="1"/>
    </row>
    <row r="88" spans="1:6" x14ac:dyDescent="0.3">
      <c r="A88" s="13">
        <v>44410</v>
      </c>
      <c r="B88" s="1">
        <v>100006</v>
      </c>
      <c r="C88" s="1">
        <v>9</v>
      </c>
      <c r="D88" s="1">
        <v>56</v>
      </c>
      <c r="E88" s="1"/>
      <c r="F88" s="1"/>
    </row>
    <row r="89" spans="1:6" x14ac:dyDescent="0.3">
      <c r="A89" s="13">
        <v>44410</v>
      </c>
      <c r="B89" s="1">
        <v>100010</v>
      </c>
      <c r="C89" s="1">
        <v>12</v>
      </c>
      <c r="D89" s="1">
        <v>1</v>
      </c>
      <c r="E89" s="1">
        <v>17</v>
      </c>
      <c r="F89" s="1">
        <v>0</v>
      </c>
    </row>
    <row r="90" spans="1:6" x14ac:dyDescent="0.3">
      <c r="A90" s="13">
        <v>44410</v>
      </c>
      <c r="B90" s="1">
        <v>100007</v>
      </c>
      <c r="C90" s="1">
        <v>17</v>
      </c>
      <c r="D90" s="1">
        <v>4</v>
      </c>
      <c r="E90" s="1">
        <v>22</v>
      </c>
      <c r="F90" s="1">
        <v>18</v>
      </c>
    </row>
    <row r="91" spans="1:6" x14ac:dyDescent="0.3">
      <c r="A91" s="13">
        <v>44410</v>
      </c>
      <c r="B91" s="1">
        <v>100008</v>
      </c>
      <c r="C91" s="1">
        <v>11</v>
      </c>
      <c r="D91" s="1">
        <v>13</v>
      </c>
      <c r="E91" s="1">
        <v>20</v>
      </c>
      <c r="F91" s="1">
        <v>52</v>
      </c>
    </row>
    <row r="92" spans="1:6" x14ac:dyDescent="0.3">
      <c r="A92" s="13">
        <v>44410</v>
      </c>
      <c r="B92" s="1">
        <v>100011</v>
      </c>
      <c r="C92" s="1">
        <v>13</v>
      </c>
      <c r="D92" s="1">
        <v>29</v>
      </c>
      <c r="E92" s="1">
        <v>22</v>
      </c>
      <c r="F92" s="1">
        <v>25</v>
      </c>
    </row>
    <row r="93" spans="1:6" x14ac:dyDescent="0.3">
      <c r="A93" s="13">
        <v>44411</v>
      </c>
      <c r="B93" s="1">
        <v>100001</v>
      </c>
      <c r="C93" s="1">
        <v>10</v>
      </c>
      <c r="D93" s="1">
        <v>24</v>
      </c>
      <c r="E93" s="1"/>
      <c r="F93" s="1"/>
    </row>
    <row r="94" spans="1:6" x14ac:dyDescent="0.3">
      <c r="A94" s="13">
        <v>44411</v>
      </c>
      <c r="B94" s="1">
        <v>100002</v>
      </c>
      <c r="C94" s="1">
        <v>7</v>
      </c>
      <c r="D94" s="1">
        <v>5</v>
      </c>
      <c r="E94" s="1">
        <v>20</v>
      </c>
      <c r="F94" s="1">
        <v>52</v>
      </c>
    </row>
    <row r="95" spans="1:6" x14ac:dyDescent="0.3">
      <c r="A95" s="13">
        <v>44411</v>
      </c>
      <c r="B95" s="1">
        <v>100005</v>
      </c>
      <c r="C95" s="1">
        <v>9</v>
      </c>
      <c r="D95" s="1">
        <v>17</v>
      </c>
      <c r="E95" s="1">
        <v>18</v>
      </c>
      <c r="F95" s="1">
        <v>0</v>
      </c>
    </row>
    <row r="96" spans="1:6" x14ac:dyDescent="0.3">
      <c r="A96" s="13">
        <v>44411</v>
      </c>
      <c r="B96" s="1">
        <v>100010</v>
      </c>
      <c r="C96" s="1">
        <v>8</v>
      </c>
      <c r="D96" s="1">
        <v>16</v>
      </c>
      <c r="E96" s="1">
        <v>17</v>
      </c>
      <c r="F96" s="1">
        <v>37</v>
      </c>
    </row>
    <row r="97" spans="1:6" x14ac:dyDescent="0.3">
      <c r="A97" s="13">
        <v>44411</v>
      </c>
      <c r="B97" s="1">
        <v>100015</v>
      </c>
      <c r="C97" s="1">
        <v>10</v>
      </c>
      <c r="D97" s="1">
        <v>37</v>
      </c>
      <c r="E97" s="1">
        <v>16</v>
      </c>
      <c r="F97" s="1">
        <v>38</v>
      </c>
    </row>
    <row r="98" spans="1:6" x14ac:dyDescent="0.3">
      <c r="A98" s="13">
        <v>44411</v>
      </c>
      <c r="B98" s="1">
        <v>100012</v>
      </c>
      <c r="C98" s="1">
        <v>17</v>
      </c>
      <c r="D98" s="1">
        <v>27</v>
      </c>
      <c r="E98" s="1">
        <v>21</v>
      </c>
      <c r="F98" s="1">
        <v>46</v>
      </c>
    </row>
    <row r="99" spans="1:6" x14ac:dyDescent="0.3">
      <c r="A99" s="13">
        <v>44412</v>
      </c>
      <c r="B99" s="1">
        <v>100001</v>
      </c>
      <c r="C99" s="1"/>
      <c r="D99" s="1"/>
      <c r="E99" s="1"/>
      <c r="F99" s="1"/>
    </row>
    <row r="100" spans="1:6" x14ac:dyDescent="0.3">
      <c r="A100" s="13">
        <v>44412</v>
      </c>
      <c r="B100" s="1">
        <v>100002</v>
      </c>
      <c r="C100" s="1">
        <v>12</v>
      </c>
      <c r="D100" s="1">
        <v>42</v>
      </c>
      <c r="E100" s="1">
        <v>20</v>
      </c>
      <c r="F100" s="1">
        <v>53</v>
      </c>
    </row>
    <row r="101" spans="1:6" x14ac:dyDescent="0.3">
      <c r="A101" s="13">
        <v>44412</v>
      </c>
      <c r="B101" s="1">
        <v>100005</v>
      </c>
      <c r="C101" s="1"/>
      <c r="D101" s="1"/>
      <c r="E101" s="1"/>
      <c r="F101" s="1"/>
    </row>
    <row r="102" spans="1:6" x14ac:dyDescent="0.3">
      <c r="A102" s="13">
        <v>44412</v>
      </c>
      <c r="B102" s="1">
        <v>100006</v>
      </c>
      <c r="C102" s="1">
        <v>9</v>
      </c>
      <c r="D102" s="1">
        <v>25</v>
      </c>
      <c r="E102" s="1">
        <v>16</v>
      </c>
      <c r="F102" s="1">
        <v>52</v>
      </c>
    </row>
    <row r="103" spans="1:6" x14ac:dyDescent="0.3">
      <c r="A103" s="13">
        <v>44412</v>
      </c>
      <c r="B103" s="1">
        <v>100010</v>
      </c>
      <c r="C103" s="1">
        <v>7</v>
      </c>
      <c r="D103" s="1">
        <v>0</v>
      </c>
      <c r="E103" s="1">
        <v>20</v>
      </c>
      <c r="F103" s="1">
        <v>39</v>
      </c>
    </row>
    <row r="104" spans="1:6" x14ac:dyDescent="0.3">
      <c r="A104" s="13">
        <v>44412</v>
      </c>
      <c r="B104" s="1">
        <v>100007</v>
      </c>
      <c r="C104" s="1">
        <v>11</v>
      </c>
      <c r="D104" s="1">
        <v>50</v>
      </c>
      <c r="E104" s="1"/>
      <c r="F104" s="1"/>
    </row>
    <row r="105" spans="1:6" x14ac:dyDescent="0.3">
      <c r="A105" s="13">
        <v>44412</v>
      </c>
      <c r="B105" s="1">
        <v>100013</v>
      </c>
      <c r="C105" s="1">
        <v>14</v>
      </c>
      <c r="D105" s="1">
        <v>5</v>
      </c>
      <c r="E105" s="1"/>
      <c r="F105" s="1"/>
    </row>
    <row r="106" spans="1:6" x14ac:dyDescent="0.3">
      <c r="A106" s="13">
        <v>44413</v>
      </c>
      <c r="B106" s="1">
        <v>100001</v>
      </c>
      <c r="C106" s="1">
        <v>11</v>
      </c>
      <c r="D106" s="1">
        <v>41</v>
      </c>
      <c r="E106" s="1">
        <v>18</v>
      </c>
      <c r="F106" s="1">
        <v>46</v>
      </c>
    </row>
    <row r="107" spans="1:6" x14ac:dyDescent="0.3">
      <c r="A107" s="13">
        <v>44413</v>
      </c>
      <c r="B107" s="1">
        <v>100002</v>
      </c>
      <c r="C107" s="1">
        <v>7</v>
      </c>
      <c r="D107" s="1">
        <v>41</v>
      </c>
      <c r="E107" s="1">
        <v>17</v>
      </c>
      <c r="F107" s="1">
        <v>39</v>
      </c>
    </row>
    <row r="108" spans="1:6" x14ac:dyDescent="0.3">
      <c r="A108" s="13">
        <v>44413</v>
      </c>
      <c r="B108" s="1">
        <v>100005</v>
      </c>
      <c r="C108" s="1">
        <v>12</v>
      </c>
      <c r="D108" s="1">
        <v>33</v>
      </c>
      <c r="E108" s="1">
        <v>19</v>
      </c>
      <c r="F108" s="1">
        <v>52</v>
      </c>
    </row>
    <row r="109" spans="1:6" x14ac:dyDescent="0.3">
      <c r="A109" s="13">
        <v>44413</v>
      </c>
      <c r="B109" s="1">
        <v>100006</v>
      </c>
      <c r="C109" s="1">
        <v>12</v>
      </c>
      <c r="D109" s="1">
        <v>13</v>
      </c>
      <c r="E109" s="1"/>
      <c r="F109" s="1"/>
    </row>
    <row r="110" spans="1:6" x14ac:dyDescent="0.3">
      <c r="A110" s="13">
        <v>44413</v>
      </c>
      <c r="B110" s="1">
        <v>100010</v>
      </c>
      <c r="C110" s="1">
        <v>11</v>
      </c>
      <c r="D110" s="1">
        <v>58</v>
      </c>
      <c r="E110" s="1">
        <v>16</v>
      </c>
      <c r="F110" s="1">
        <v>57</v>
      </c>
    </row>
    <row r="111" spans="1:6" x14ac:dyDescent="0.3">
      <c r="A111" s="13">
        <v>44413</v>
      </c>
      <c r="B111" s="1">
        <v>100015</v>
      </c>
      <c r="C111" s="1">
        <v>7</v>
      </c>
      <c r="D111" s="1">
        <v>4</v>
      </c>
      <c r="E111" s="1">
        <v>18</v>
      </c>
      <c r="F111" s="1">
        <v>38</v>
      </c>
    </row>
    <row r="112" spans="1:6" x14ac:dyDescent="0.3">
      <c r="A112" s="13">
        <v>44413</v>
      </c>
      <c r="B112" s="1">
        <v>100003</v>
      </c>
      <c r="C112" s="1">
        <v>13</v>
      </c>
      <c r="D112" s="1">
        <v>12</v>
      </c>
      <c r="E112" s="1">
        <v>22</v>
      </c>
      <c r="F112" s="1">
        <v>2</v>
      </c>
    </row>
    <row r="113" spans="1:6" x14ac:dyDescent="0.3">
      <c r="A113" s="13">
        <v>44413</v>
      </c>
      <c r="B113" s="1">
        <v>100011</v>
      </c>
      <c r="C113" s="1">
        <v>17</v>
      </c>
      <c r="D113" s="1">
        <v>13</v>
      </c>
      <c r="E113" s="1">
        <v>22</v>
      </c>
      <c r="F113" s="1">
        <v>5</v>
      </c>
    </row>
    <row r="114" spans="1:6" x14ac:dyDescent="0.3">
      <c r="A114" s="13">
        <v>44413</v>
      </c>
      <c r="B114" s="1">
        <v>100012</v>
      </c>
      <c r="C114" s="1">
        <v>15</v>
      </c>
      <c r="D114" s="1">
        <v>27</v>
      </c>
      <c r="E114" s="1">
        <v>21</v>
      </c>
      <c r="F114" s="1">
        <v>0</v>
      </c>
    </row>
    <row r="115" spans="1:6" x14ac:dyDescent="0.3">
      <c r="A115" s="13">
        <v>44414</v>
      </c>
      <c r="B115" s="1">
        <v>100001</v>
      </c>
      <c r="C115" s="1">
        <v>9</v>
      </c>
      <c r="D115" s="1">
        <v>43</v>
      </c>
      <c r="E115" s="1">
        <v>17</v>
      </c>
      <c r="F115" s="1">
        <v>45</v>
      </c>
    </row>
    <row r="116" spans="1:6" x14ac:dyDescent="0.3">
      <c r="A116" s="13">
        <v>44414</v>
      </c>
      <c r="B116" s="1">
        <v>100002</v>
      </c>
      <c r="C116" s="1">
        <v>11</v>
      </c>
      <c r="D116" s="1">
        <v>20</v>
      </c>
      <c r="E116" s="1">
        <v>17</v>
      </c>
      <c r="F116" s="1">
        <v>40</v>
      </c>
    </row>
    <row r="117" spans="1:6" x14ac:dyDescent="0.3">
      <c r="A117" s="13">
        <v>44414</v>
      </c>
      <c r="B117" s="1">
        <v>100005</v>
      </c>
      <c r="C117" s="1">
        <v>11</v>
      </c>
      <c r="D117" s="1">
        <v>35</v>
      </c>
      <c r="E117" s="1">
        <v>18</v>
      </c>
      <c r="F117" s="1">
        <v>32</v>
      </c>
    </row>
    <row r="118" spans="1:6" x14ac:dyDescent="0.3">
      <c r="A118" s="13">
        <v>44414</v>
      </c>
      <c r="B118" s="1">
        <v>100006</v>
      </c>
      <c r="C118" s="1">
        <v>11</v>
      </c>
      <c r="D118" s="1">
        <v>55</v>
      </c>
      <c r="E118" s="1">
        <v>18</v>
      </c>
      <c r="F118" s="1">
        <v>17</v>
      </c>
    </row>
    <row r="119" spans="1:6" x14ac:dyDescent="0.3">
      <c r="A119" s="13">
        <v>44414</v>
      </c>
      <c r="B119" s="1">
        <v>100010</v>
      </c>
      <c r="C119" s="1">
        <v>10</v>
      </c>
      <c r="D119" s="1">
        <v>39</v>
      </c>
      <c r="E119" s="1">
        <v>16</v>
      </c>
      <c r="F119" s="1">
        <v>55</v>
      </c>
    </row>
    <row r="120" spans="1:6" x14ac:dyDescent="0.3">
      <c r="A120" s="13">
        <v>44414</v>
      </c>
      <c r="B120" s="1">
        <v>100007</v>
      </c>
      <c r="C120" s="1">
        <v>14</v>
      </c>
      <c r="D120" s="1">
        <v>31</v>
      </c>
      <c r="E120" s="1">
        <v>20</v>
      </c>
      <c r="F120" s="1">
        <v>44</v>
      </c>
    </row>
    <row r="121" spans="1:6" x14ac:dyDescent="0.3">
      <c r="A121" s="13">
        <v>44414</v>
      </c>
      <c r="B121" s="1">
        <v>100008</v>
      </c>
      <c r="C121" s="1">
        <v>16</v>
      </c>
      <c r="D121" s="1">
        <v>55</v>
      </c>
      <c r="E121" s="1">
        <v>21</v>
      </c>
      <c r="F121" s="1">
        <v>39</v>
      </c>
    </row>
    <row r="122" spans="1:6" x14ac:dyDescent="0.3">
      <c r="A122" s="13">
        <v>44414</v>
      </c>
      <c r="B122" s="1">
        <v>100012</v>
      </c>
      <c r="C122" s="1">
        <v>12</v>
      </c>
      <c r="D122" s="1">
        <v>8</v>
      </c>
      <c r="E122" s="1">
        <v>20</v>
      </c>
      <c r="F122" s="1">
        <v>35</v>
      </c>
    </row>
    <row r="123" spans="1:6" x14ac:dyDescent="0.3">
      <c r="A123" s="13">
        <v>44417</v>
      </c>
      <c r="B123" s="1">
        <v>100001</v>
      </c>
      <c r="C123" s="1">
        <v>8</v>
      </c>
      <c r="D123" s="1">
        <v>25</v>
      </c>
      <c r="E123" s="1">
        <v>18</v>
      </c>
      <c r="F123" s="1">
        <v>35</v>
      </c>
    </row>
    <row r="124" spans="1:6" x14ac:dyDescent="0.3">
      <c r="A124" s="13">
        <v>44417</v>
      </c>
      <c r="B124" s="1">
        <v>100002</v>
      </c>
      <c r="C124" s="1">
        <v>7</v>
      </c>
      <c r="D124" s="1">
        <v>33</v>
      </c>
      <c r="E124" s="1">
        <v>16</v>
      </c>
      <c r="F124" s="1">
        <v>18</v>
      </c>
    </row>
    <row r="125" spans="1:6" x14ac:dyDescent="0.3">
      <c r="A125" s="13">
        <v>44417</v>
      </c>
      <c r="B125" s="1">
        <v>100005</v>
      </c>
      <c r="C125" s="1"/>
      <c r="D125" s="1"/>
      <c r="E125" s="1"/>
      <c r="F125" s="1"/>
    </row>
    <row r="126" spans="1:6" x14ac:dyDescent="0.3">
      <c r="A126" s="13">
        <v>44417</v>
      </c>
      <c r="B126" s="1">
        <v>100006</v>
      </c>
      <c r="C126" s="1">
        <v>10</v>
      </c>
      <c r="D126" s="1">
        <v>32</v>
      </c>
      <c r="E126" s="1">
        <v>18</v>
      </c>
      <c r="F126" s="1">
        <v>32</v>
      </c>
    </row>
    <row r="127" spans="1:6" x14ac:dyDescent="0.3">
      <c r="A127" s="13">
        <v>44417</v>
      </c>
      <c r="B127" s="1">
        <v>100010</v>
      </c>
      <c r="C127" s="1">
        <v>7</v>
      </c>
      <c r="D127" s="1">
        <v>48</v>
      </c>
      <c r="E127" s="1">
        <v>18</v>
      </c>
      <c r="F127" s="1">
        <v>58</v>
      </c>
    </row>
    <row r="128" spans="1:6" x14ac:dyDescent="0.3">
      <c r="A128" s="13">
        <v>44417</v>
      </c>
      <c r="B128" s="1">
        <v>100015</v>
      </c>
      <c r="C128" s="1">
        <v>7</v>
      </c>
      <c r="D128" s="1">
        <v>39</v>
      </c>
      <c r="E128" s="1"/>
      <c r="F128" s="1"/>
    </row>
    <row r="129" spans="1:6" x14ac:dyDescent="0.3">
      <c r="A129" s="13">
        <v>44417</v>
      </c>
      <c r="B129" s="1">
        <v>100003</v>
      </c>
      <c r="C129" s="1">
        <v>14</v>
      </c>
      <c r="D129" s="1">
        <v>44</v>
      </c>
      <c r="E129" s="1">
        <v>21</v>
      </c>
      <c r="F129" s="1">
        <v>29</v>
      </c>
    </row>
    <row r="130" spans="1:6" x14ac:dyDescent="0.3">
      <c r="A130" s="13">
        <v>44417</v>
      </c>
      <c r="B130" s="1">
        <v>100007</v>
      </c>
      <c r="C130" s="1">
        <v>16</v>
      </c>
      <c r="D130" s="1">
        <v>20</v>
      </c>
      <c r="E130" s="1">
        <v>20</v>
      </c>
      <c r="F130" s="1">
        <v>28</v>
      </c>
    </row>
    <row r="131" spans="1:6" x14ac:dyDescent="0.3">
      <c r="A131" s="13">
        <v>44417</v>
      </c>
      <c r="B131" s="1">
        <v>100011</v>
      </c>
      <c r="C131" s="1">
        <v>11</v>
      </c>
      <c r="D131" s="1">
        <v>52</v>
      </c>
      <c r="E131" s="1">
        <v>20</v>
      </c>
      <c r="F131" s="1">
        <v>16</v>
      </c>
    </row>
    <row r="132" spans="1:6" x14ac:dyDescent="0.3">
      <c r="A132" s="13">
        <v>44417</v>
      </c>
      <c r="B132" s="1">
        <v>100012</v>
      </c>
      <c r="C132" s="1">
        <v>16</v>
      </c>
      <c r="D132" s="1">
        <v>21</v>
      </c>
      <c r="E132" s="1">
        <v>22</v>
      </c>
      <c r="F132" s="1">
        <v>38</v>
      </c>
    </row>
    <row r="133" spans="1:6" x14ac:dyDescent="0.3">
      <c r="A133" s="13">
        <v>44418</v>
      </c>
      <c r="B133" s="1">
        <v>100001</v>
      </c>
      <c r="C133" s="1">
        <v>12</v>
      </c>
      <c r="D133" s="1">
        <v>52</v>
      </c>
      <c r="E133" s="1"/>
      <c r="F133" s="1"/>
    </row>
    <row r="134" spans="1:6" x14ac:dyDescent="0.3">
      <c r="A134" s="13">
        <v>44418</v>
      </c>
      <c r="B134" s="1">
        <v>100002</v>
      </c>
      <c r="C134" s="1">
        <v>7</v>
      </c>
      <c r="D134" s="1">
        <v>41</v>
      </c>
      <c r="E134" s="1">
        <v>18</v>
      </c>
      <c r="F134" s="1">
        <v>23</v>
      </c>
    </row>
    <row r="135" spans="1:6" x14ac:dyDescent="0.3">
      <c r="A135" s="13">
        <v>44418</v>
      </c>
      <c r="B135" s="1">
        <v>100005</v>
      </c>
      <c r="C135" s="1">
        <v>9</v>
      </c>
      <c r="D135" s="1">
        <v>29</v>
      </c>
      <c r="E135" s="1">
        <v>18</v>
      </c>
      <c r="F135" s="1">
        <v>58</v>
      </c>
    </row>
    <row r="136" spans="1:6" x14ac:dyDescent="0.3">
      <c r="A136" s="13">
        <v>44418</v>
      </c>
      <c r="B136" s="1">
        <v>100006</v>
      </c>
      <c r="C136" s="1">
        <v>8</v>
      </c>
      <c r="D136" s="1">
        <v>35</v>
      </c>
      <c r="E136" s="1">
        <v>18</v>
      </c>
      <c r="F136" s="1">
        <v>44</v>
      </c>
    </row>
    <row r="137" spans="1:6" x14ac:dyDescent="0.3">
      <c r="A137" s="13">
        <v>44418</v>
      </c>
      <c r="B137" s="1">
        <v>100010</v>
      </c>
      <c r="C137" s="1">
        <v>10</v>
      </c>
      <c r="D137" s="1">
        <v>26</v>
      </c>
      <c r="E137" s="1">
        <v>16</v>
      </c>
      <c r="F137" s="1">
        <v>29</v>
      </c>
    </row>
    <row r="138" spans="1:6" x14ac:dyDescent="0.3">
      <c r="A138" s="13">
        <v>44418</v>
      </c>
      <c r="B138" s="1">
        <v>100015</v>
      </c>
      <c r="C138" s="1">
        <v>8</v>
      </c>
      <c r="D138" s="1">
        <v>15</v>
      </c>
      <c r="E138" s="1">
        <v>16</v>
      </c>
      <c r="F138" s="1">
        <v>50</v>
      </c>
    </row>
    <row r="139" spans="1:6" x14ac:dyDescent="0.3">
      <c r="A139" s="13">
        <v>44418</v>
      </c>
      <c r="B139" s="1">
        <v>100003</v>
      </c>
      <c r="C139" s="1">
        <v>16</v>
      </c>
      <c r="D139" s="1">
        <v>26</v>
      </c>
      <c r="E139" s="1">
        <v>22</v>
      </c>
      <c r="F139" s="1">
        <v>51</v>
      </c>
    </row>
    <row r="140" spans="1:6" x14ac:dyDescent="0.3">
      <c r="A140" s="13">
        <v>44418</v>
      </c>
      <c r="B140" s="1">
        <v>100008</v>
      </c>
      <c r="C140" s="1"/>
      <c r="D140" s="1"/>
      <c r="E140" s="1"/>
      <c r="F140" s="1"/>
    </row>
    <row r="141" spans="1:6" x14ac:dyDescent="0.3">
      <c r="A141" s="13">
        <v>44418</v>
      </c>
      <c r="B141" s="1">
        <v>100011</v>
      </c>
      <c r="C141" s="1"/>
      <c r="D141" s="1"/>
      <c r="E141" s="1"/>
      <c r="F141" s="1"/>
    </row>
    <row r="142" spans="1:6" x14ac:dyDescent="0.3">
      <c r="A142" s="13">
        <v>44418</v>
      </c>
      <c r="B142" s="1">
        <v>100012</v>
      </c>
      <c r="C142" s="1">
        <v>13</v>
      </c>
      <c r="D142" s="1">
        <v>13</v>
      </c>
      <c r="E142" s="1">
        <v>21</v>
      </c>
      <c r="F142" s="1">
        <v>42</v>
      </c>
    </row>
    <row r="143" spans="1:6" x14ac:dyDescent="0.3">
      <c r="A143" s="13">
        <v>44418</v>
      </c>
      <c r="B143" s="1">
        <v>100013</v>
      </c>
      <c r="C143" s="1">
        <v>14</v>
      </c>
      <c r="D143" s="1">
        <v>24</v>
      </c>
      <c r="E143" s="1">
        <v>22</v>
      </c>
      <c r="F143" s="1">
        <v>12</v>
      </c>
    </row>
    <row r="144" spans="1:6" x14ac:dyDescent="0.3">
      <c r="A144" s="13">
        <v>44419</v>
      </c>
      <c r="B144" s="1">
        <v>100001</v>
      </c>
      <c r="C144" s="1">
        <v>12</v>
      </c>
      <c r="D144" s="1">
        <v>47</v>
      </c>
      <c r="E144" s="1">
        <v>19</v>
      </c>
      <c r="F144" s="1">
        <v>0</v>
      </c>
    </row>
    <row r="145" spans="1:6" x14ac:dyDescent="0.3">
      <c r="A145" s="13">
        <v>44419</v>
      </c>
      <c r="B145" s="1">
        <v>100002</v>
      </c>
      <c r="C145" s="1">
        <v>11</v>
      </c>
      <c r="D145" s="1">
        <v>11</v>
      </c>
      <c r="E145" s="1">
        <v>20</v>
      </c>
      <c r="F145" s="1">
        <v>40</v>
      </c>
    </row>
    <row r="146" spans="1:6" x14ac:dyDescent="0.3">
      <c r="A146" s="13">
        <v>44419</v>
      </c>
      <c r="B146" s="1">
        <v>100005</v>
      </c>
      <c r="C146" s="1">
        <v>10</v>
      </c>
      <c r="D146" s="1">
        <v>49</v>
      </c>
      <c r="E146" s="1"/>
      <c r="F146" s="1"/>
    </row>
    <row r="147" spans="1:6" x14ac:dyDescent="0.3">
      <c r="A147" s="13">
        <v>44419</v>
      </c>
      <c r="B147" s="1">
        <v>100006</v>
      </c>
      <c r="C147" s="1">
        <v>8</v>
      </c>
      <c r="D147" s="1">
        <v>58</v>
      </c>
      <c r="E147" s="1">
        <v>19</v>
      </c>
      <c r="F147" s="1">
        <v>27</v>
      </c>
    </row>
    <row r="148" spans="1:6" x14ac:dyDescent="0.3">
      <c r="A148" s="13">
        <v>44419</v>
      </c>
      <c r="B148" s="1">
        <v>100010</v>
      </c>
      <c r="C148" s="1">
        <v>8</v>
      </c>
      <c r="D148" s="1">
        <v>41</v>
      </c>
      <c r="E148" s="1">
        <v>19</v>
      </c>
      <c r="F148" s="1">
        <v>13</v>
      </c>
    </row>
    <row r="149" spans="1:6" x14ac:dyDescent="0.3">
      <c r="A149" s="13">
        <v>44419</v>
      </c>
      <c r="B149" s="1">
        <v>100015</v>
      </c>
      <c r="C149" s="1">
        <v>12</v>
      </c>
      <c r="D149" s="1">
        <v>46</v>
      </c>
      <c r="E149" s="1">
        <v>17</v>
      </c>
      <c r="F149" s="1">
        <v>24</v>
      </c>
    </row>
    <row r="150" spans="1:6" x14ac:dyDescent="0.3">
      <c r="A150" s="13">
        <v>44419</v>
      </c>
      <c r="B150" s="1">
        <v>100007</v>
      </c>
      <c r="C150" s="1">
        <v>13</v>
      </c>
      <c r="D150" s="1">
        <v>43</v>
      </c>
      <c r="E150" s="1"/>
      <c r="F150" s="1"/>
    </row>
    <row r="151" spans="1:6" x14ac:dyDescent="0.3">
      <c r="A151" s="13">
        <v>44419</v>
      </c>
      <c r="B151" s="1">
        <v>100008</v>
      </c>
      <c r="C151" s="1">
        <v>16</v>
      </c>
      <c r="D151" s="1">
        <v>38</v>
      </c>
      <c r="E151" s="1">
        <v>21</v>
      </c>
      <c r="F151" s="1">
        <v>2</v>
      </c>
    </row>
    <row r="152" spans="1:6" x14ac:dyDescent="0.3">
      <c r="A152" s="13">
        <v>44419</v>
      </c>
      <c r="B152" s="1">
        <v>100011</v>
      </c>
      <c r="C152" s="1">
        <v>14</v>
      </c>
      <c r="D152" s="1">
        <v>43</v>
      </c>
      <c r="E152" s="1">
        <v>21</v>
      </c>
      <c r="F152" s="1">
        <v>37</v>
      </c>
    </row>
    <row r="153" spans="1:6" x14ac:dyDescent="0.3">
      <c r="A153" s="13">
        <v>44419</v>
      </c>
      <c r="B153" s="1">
        <v>100012</v>
      </c>
      <c r="C153" s="1">
        <v>16</v>
      </c>
      <c r="D153" s="1">
        <v>21</v>
      </c>
      <c r="E153" s="1">
        <v>20</v>
      </c>
      <c r="F153" s="1">
        <v>48</v>
      </c>
    </row>
    <row r="154" spans="1:6" x14ac:dyDescent="0.3">
      <c r="A154" s="13">
        <v>44420</v>
      </c>
      <c r="B154" s="1">
        <v>100001</v>
      </c>
      <c r="C154" s="1">
        <v>7</v>
      </c>
      <c r="D154" s="1">
        <v>26</v>
      </c>
      <c r="E154" s="1"/>
      <c r="F154" s="1"/>
    </row>
    <row r="155" spans="1:6" x14ac:dyDescent="0.3">
      <c r="A155" s="13">
        <v>44420</v>
      </c>
      <c r="B155" s="1">
        <v>100002</v>
      </c>
      <c r="C155" s="1">
        <v>10</v>
      </c>
      <c r="D155" s="1">
        <v>58</v>
      </c>
      <c r="E155" s="1"/>
      <c r="F155" s="1"/>
    </row>
    <row r="156" spans="1:6" x14ac:dyDescent="0.3">
      <c r="A156" s="13">
        <v>44420</v>
      </c>
      <c r="B156" s="1">
        <v>100006</v>
      </c>
      <c r="C156" s="1">
        <v>11</v>
      </c>
      <c r="D156" s="1">
        <v>42</v>
      </c>
      <c r="E156" s="1">
        <v>17</v>
      </c>
      <c r="F156" s="1">
        <v>23</v>
      </c>
    </row>
    <row r="157" spans="1:6" x14ac:dyDescent="0.3">
      <c r="A157" s="13">
        <v>44420</v>
      </c>
      <c r="B157" s="1">
        <v>100010</v>
      </c>
      <c r="C157" s="1">
        <v>9</v>
      </c>
      <c r="D157" s="1">
        <v>47</v>
      </c>
      <c r="E157" s="1">
        <v>18</v>
      </c>
      <c r="F157" s="1">
        <v>42</v>
      </c>
    </row>
    <row r="158" spans="1:6" x14ac:dyDescent="0.3">
      <c r="A158" s="13">
        <v>44420</v>
      </c>
      <c r="B158" s="1">
        <v>100015</v>
      </c>
      <c r="C158" s="1">
        <v>12</v>
      </c>
      <c r="D158" s="1">
        <v>44</v>
      </c>
      <c r="E158" s="1">
        <v>17</v>
      </c>
      <c r="F158" s="1">
        <v>56</v>
      </c>
    </row>
    <row r="159" spans="1:6" x14ac:dyDescent="0.3">
      <c r="A159" s="13">
        <v>44420</v>
      </c>
      <c r="B159" s="1">
        <v>100007</v>
      </c>
      <c r="C159" s="1">
        <v>14</v>
      </c>
      <c r="D159" s="1">
        <v>1</v>
      </c>
      <c r="E159" s="1">
        <v>20</v>
      </c>
      <c r="F159" s="1">
        <v>12</v>
      </c>
    </row>
    <row r="160" spans="1:6" x14ac:dyDescent="0.3">
      <c r="A160" s="13">
        <v>44421</v>
      </c>
      <c r="B160" s="1">
        <v>100001</v>
      </c>
      <c r="C160" s="1">
        <v>11</v>
      </c>
      <c r="D160" s="1">
        <v>11</v>
      </c>
      <c r="E160" s="1">
        <v>19</v>
      </c>
      <c r="F160" s="1">
        <v>50</v>
      </c>
    </row>
    <row r="161" spans="1:6" x14ac:dyDescent="0.3">
      <c r="A161" s="13">
        <v>44421</v>
      </c>
      <c r="B161" s="1">
        <v>100005</v>
      </c>
      <c r="C161" s="1">
        <v>8</v>
      </c>
      <c r="D161" s="1">
        <v>12</v>
      </c>
      <c r="E161" s="1">
        <v>16</v>
      </c>
      <c r="F161" s="1">
        <v>38</v>
      </c>
    </row>
    <row r="162" spans="1:6" x14ac:dyDescent="0.3">
      <c r="A162" s="13">
        <v>44421</v>
      </c>
      <c r="B162" s="1">
        <v>100006</v>
      </c>
      <c r="C162" s="1">
        <v>8</v>
      </c>
      <c r="D162" s="1">
        <v>56</v>
      </c>
      <c r="E162" s="1">
        <v>16</v>
      </c>
      <c r="F162" s="1">
        <v>14</v>
      </c>
    </row>
    <row r="163" spans="1:6" x14ac:dyDescent="0.3">
      <c r="A163" s="13">
        <v>44421</v>
      </c>
      <c r="B163" s="1">
        <v>100010</v>
      </c>
      <c r="C163" s="1">
        <v>8</v>
      </c>
      <c r="D163" s="1">
        <v>42</v>
      </c>
      <c r="E163" s="1">
        <v>17</v>
      </c>
      <c r="F163" s="1">
        <v>45</v>
      </c>
    </row>
    <row r="164" spans="1:6" x14ac:dyDescent="0.3">
      <c r="A164" s="13">
        <v>44421</v>
      </c>
      <c r="B164" s="1">
        <v>100015</v>
      </c>
      <c r="C164" s="1">
        <v>10</v>
      </c>
      <c r="D164" s="1">
        <v>3</v>
      </c>
      <c r="E164" s="1">
        <v>17</v>
      </c>
      <c r="F164" s="1">
        <v>53</v>
      </c>
    </row>
    <row r="165" spans="1:6" x14ac:dyDescent="0.3">
      <c r="A165" s="13">
        <v>44421</v>
      </c>
      <c r="B165" s="1">
        <v>100007</v>
      </c>
      <c r="C165" s="1">
        <v>15</v>
      </c>
      <c r="D165" s="1">
        <v>21</v>
      </c>
      <c r="E165" s="1">
        <v>21</v>
      </c>
      <c r="F165" s="1">
        <v>19</v>
      </c>
    </row>
    <row r="166" spans="1:6" x14ac:dyDescent="0.3">
      <c r="A166" s="13">
        <v>44421</v>
      </c>
      <c r="B166" s="1">
        <v>100008</v>
      </c>
      <c r="C166" s="1">
        <v>11</v>
      </c>
      <c r="D166" s="1">
        <v>18</v>
      </c>
      <c r="E166" s="1">
        <v>21</v>
      </c>
      <c r="F166" s="1">
        <v>4</v>
      </c>
    </row>
    <row r="167" spans="1:6" x14ac:dyDescent="0.3">
      <c r="A167" s="13">
        <v>44424</v>
      </c>
      <c r="B167" s="1">
        <v>100001</v>
      </c>
      <c r="C167" s="1">
        <v>11</v>
      </c>
      <c r="D167" s="1">
        <v>48</v>
      </c>
      <c r="E167" s="1">
        <v>16</v>
      </c>
      <c r="F167" s="1">
        <v>9</v>
      </c>
    </row>
    <row r="168" spans="1:6" x14ac:dyDescent="0.3">
      <c r="A168" s="13">
        <v>44424</v>
      </c>
      <c r="B168" s="1">
        <v>100002</v>
      </c>
      <c r="C168" s="1">
        <v>11</v>
      </c>
      <c r="D168" s="1">
        <v>19</v>
      </c>
      <c r="E168" s="1">
        <v>18</v>
      </c>
      <c r="F168" s="1">
        <v>47</v>
      </c>
    </row>
    <row r="169" spans="1:6" x14ac:dyDescent="0.3">
      <c r="A169" s="13">
        <v>44424</v>
      </c>
      <c r="B169" s="1">
        <v>100005</v>
      </c>
      <c r="C169" s="1">
        <v>9</v>
      </c>
      <c r="D169" s="1">
        <v>5</v>
      </c>
      <c r="E169" s="1">
        <v>18</v>
      </c>
      <c r="F169" s="1">
        <v>26</v>
      </c>
    </row>
    <row r="170" spans="1:6" x14ac:dyDescent="0.3">
      <c r="A170" s="13">
        <v>44424</v>
      </c>
      <c r="B170" s="1">
        <v>100006</v>
      </c>
      <c r="C170" s="1">
        <v>11</v>
      </c>
      <c r="D170" s="1">
        <v>43</v>
      </c>
      <c r="E170" s="1">
        <v>20</v>
      </c>
      <c r="F170" s="1">
        <v>30</v>
      </c>
    </row>
    <row r="171" spans="1:6" x14ac:dyDescent="0.3">
      <c r="A171" s="13">
        <v>44424</v>
      </c>
      <c r="B171" s="1">
        <v>100015</v>
      </c>
      <c r="C171" s="1">
        <v>7</v>
      </c>
      <c r="D171" s="1">
        <v>15</v>
      </c>
      <c r="E171" s="1">
        <v>19</v>
      </c>
      <c r="F171" s="1">
        <v>11</v>
      </c>
    </row>
    <row r="172" spans="1:6" x14ac:dyDescent="0.3">
      <c r="A172" s="13">
        <v>44424</v>
      </c>
      <c r="B172" s="1">
        <v>100003</v>
      </c>
      <c r="C172" s="1">
        <v>15</v>
      </c>
      <c r="D172" s="1">
        <v>17</v>
      </c>
      <c r="E172" s="1">
        <v>20</v>
      </c>
      <c r="F172" s="1">
        <v>53</v>
      </c>
    </row>
    <row r="173" spans="1:6" x14ac:dyDescent="0.3">
      <c r="A173" s="13">
        <v>44424</v>
      </c>
      <c r="B173" s="1">
        <v>100012</v>
      </c>
      <c r="C173" s="1">
        <v>15</v>
      </c>
      <c r="D173" s="1">
        <v>15</v>
      </c>
      <c r="E173" s="1">
        <v>22</v>
      </c>
      <c r="F173" s="1">
        <v>14</v>
      </c>
    </row>
    <row r="174" spans="1:6" x14ac:dyDescent="0.3">
      <c r="A174" s="13">
        <v>44424</v>
      </c>
      <c r="B174" s="1">
        <v>100014</v>
      </c>
      <c r="C174" s="1"/>
      <c r="D174" s="1"/>
      <c r="E174" s="1"/>
      <c r="F174" s="1"/>
    </row>
    <row r="175" spans="1:6" x14ac:dyDescent="0.3">
      <c r="A175" s="13">
        <v>44425</v>
      </c>
      <c r="B175" s="1">
        <v>100001</v>
      </c>
      <c r="C175" s="1">
        <v>9</v>
      </c>
      <c r="D175" s="1">
        <v>17</v>
      </c>
      <c r="E175" s="1">
        <v>17</v>
      </c>
      <c r="F175" s="1">
        <v>31</v>
      </c>
    </row>
    <row r="176" spans="1:6" x14ac:dyDescent="0.3">
      <c r="A176" s="13">
        <v>44425</v>
      </c>
      <c r="B176" s="1">
        <v>100002</v>
      </c>
      <c r="C176" s="1">
        <v>10</v>
      </c>
      <c r="D176" s="1">
        <v>22</v>
      </c>
      <c r="E176" s="1"/>
      <c r="F176" s="1"/>
    </row>
    <row r="177" spans="1:6" x14ac:dyDescent="0.3">
      <c r="A177" s="13">
        <v>44425</v>
      </c>
      <c r="B177" s="1">
        <v>100005</v>
      </c>
      <c r="C177" s="1">
        <v>9</v>
      </c>
      <c r="D177" s="1">
        <v>28</v>
      </c>
      <c r="E177" s="1"/>
      <c r="F177" s="1"/>
    </row>
    <row r="178" spans="1:6" x14ac:dyDescent="0.3">
      <c r="A178" s="13">
        <v>44425</v>
      </c>
      <c r="B178" s="1">
        <v>100006</v>
      </c>
      <c r="C178" s="1">
        <v>9</v>
      </c>
      <c r="D178" s="1">
        <v>49</v>
      </c>
      <c r="E178" s="1">
        <v>18</v>
      </c>
      <c r="F178" s="1">
        <v>0</v>
      </c>
    </row>
    <row r="179" spans="1:6" x14ac:dyDescent="0.3">
      <c r="A179" s="13">
        <v>44425</v>
      </c>
      <c r="B179" s="1">
        <v>100010</v>
      </c>
      <c r="C179" s="1">
        <v>10</v>
      </c>
      <c r="D179" s="1">
        <v>5</v>
      </c>
      <c r="E179" s="1">
        <v>16</v>
      </c>
      <c r="F179" s="1">
        <v>11</v>
      </c>
    </row>
    <row r="180" spans="1:6" x14ac:dyDescent="0.3">
      <c r="A180" s="13">
        <v>44425</v>
      </c>
      <c r="B180" s="1">
        <v>100015</v>
      </c>
      <c r="C180" s="1">
        <v>9</v>
      </c>
      <c r="D180" s="1">
        <v>10</v>
      </c>
      <c r="E180" s="1">
        <v>19</v>
      </c>
      <c r="F180" s="1">
        <v>32</v>
      </c>
    </row>
    <row r="181" spans="1:6" x14ac:dyDescent="0.3">
      <c r="A181" s="13">
        <v>44425</v>
      </c>
      <c r="B181" s="1">
        <v>100007</v>
      </c>
      <c r="C181" s="1">
        <v>13</v>
      </c>
      <c r="D181" s="1">
        <v>24</v>
      </c>
      <c r="E181" s="1">
        <v>20</v>
      </c>
      <c r="F181" s="1">
        <v>52</v>
      </c>
    </row>
    <row r="182" spans="1:6" x14ac:dyDescent="0.3">
      <c r="A182" s="13">
        <v>44425</v>
      </c>
      <c r="B182" s="1">
        <v>100008</v>
      </c>
      <c r="C182" s="1"/>
      <c r="D182" s="1"/>
      <c r="E182" s="1"/>
      <c r="F182" s="1"/>
    </row>
    <row r="183" spans="1:6" x14ac:dyDescent="0.3">
      <c r="A183" s="13">
        <v>44425</v>
      </c>
      <c r="B183" s="1">
        <v>100011</v>
      </c>
      <c r="C183" s="1">
        <v>14</v>
      </c>
      <c r="D183" s="1">
        <v>54</v>
      </c>
      <c r="E183" s="1">
        <v>21</v>
      </c>
      <c r="F183" s="1">
        <v>53</v>
      </c>
    </row>
    <row r="184" spans="1:6" x14ac:dyDescent="0.3">
      <c r="A184" s="13">
        <v>44425</v>
      </c>
      <c r="B184" s="1">
        <v>100012</v>
      </c>
      <c r="C184" s="1">
        <v>16</v>
      </c>
      <c r="D184" s="1">
        <v>54</v>
      </c>
      <c r="E184" s="1">
        <v>21</v>
      </c>
      <c r="F184" s="1">
        <v>39</v>
      </c>
    </row>
    <row r="185" spans="1:6" x14ac:dyDescent="0.3">
      <c r="A185" s="13">
        <v>44425</v>
      </c>
      <c r="B185" s="1">
        <v>100014</v>
      </c>
      <c r="C185" s="1">
        <v>14</v>
      </c>
      <c r="D185" s="1">
        <v>11</v>
      </c>
      <c r="E185" s="1">
        <v>22</v>
      </c>
      <c r="F185" s="1">
        <v>43</v>
      </c>
    </row>
    <row r="186" spans="1:6" x14ac:dyDescent="0.3">
      <c r="A186" s="13">
        <v>44426</v>
      </c>
      <c r="B186" s="1">
        <v>100001</v>
      </c>
      <c r="C186" s="1">
        <v>9</v>
      </c>
      <c r="D186" s="1">
        <v>14</v>
      </c>
      <c r="E186" s="1">
        <v>20</v>
      </c>
      <c r="F186" s="1">
        <v>15</v>
      </c>
    </row>
    <row r="187" spans="1:6" x14ac:dyDescent="0.3">
      <c r="A187" s="13">
        <v>44426</v>
      </c>
      <c r="B187" s="1">
        <v>100005</v>
      </c>
      <c r="C187" s="1">
        <v>8</v>
      </c>
      <c r="D187" s="1">
        <v>8</v>
      </c>
      <c r="E187" s="1">
        <v>18</v>
      </c>
      <c r="F187" s="1">
        <v>17</v>
      </c>
    </row>
    <row r="188" spans="1:6" x14ac:dyDescent="0.3">
      <c r="A188" s="13">
        <v>44426</v>
      </c>
      <c r="B188" s="1">
        <v>100006</v>
      </c>
      <c r="C188" s="1">
        <v>12</v>
      </c>
      <c r="D188" s="1">
        <v>46</v>
      </c>
      <c r="E188" s="1">
        <v>20</v>
      </c>
      <c r="F188" s="1">
        <v>34</v>
      </c>
    </row>
    <row r="189" spans="1:6" x14ac:dyDescent="0.3">
      <c r="A189" s="13">
        <v>44426</v>
      </c>
      <c r="B189" s="1">
        <v>100010</v>
      </c>
      <c r="C189" s="1">
        <v>12</v>
      </c>
      <c r="D189" s="1">
        <v>1</v>
      </c>
      <c r="E189" s="1">
        <v>16</v>
      </c>
      <c r="F189" s="1">
        <v>16</v>
      </c>
    </row>
    <row r="190" spans="1:6" x14ac:dyDescent="0.3">
      <c r="A190" s="13">
        <v>44426</v>
      </c>
      <c r="B190" s="1">
        <v>100015</v>
      </c>
      <c r="C190" s="1">
        <v>9</v>
      </c>
      <c r="D190" s="1">
        <v>47</v>
      </c>
      <c r="E190" s="1">
        <v>17</v>
      </c>
      <c r="F190" s="1">
        <v>26</v>
      </c>
    </row>
    <row r="191" spans="1:6" x14ac:dyDescent="0.3">
      <c r="A191" s="13">
        <v>44426</v>
      </c>
      <c r="B191" s="1">
        <v>100007</v>
      </c>
      <c r="C191" s="1">
        <v>11</v>
      </c>
      <c r="D191" s="1">
        <v>34</v>
      </c>
      <c r="E191" s="1"/>
      <c r="F191" s="1"/>
    </row>
    <row r="192" spans="1:6" x14ac:dyDescent="0.3">
      <c r="A192" s="13">
        <v>44426</v>
      </c>
      <c r="B192" s="1">
        <v>100014</v>
      </c>
      <c r="C192" s="1">
        <v>16</v>
      </c>
      <c r="D192" s="1">
        <v>19</v>
      </c>
      <c r="E192" s="1"/>
      <c r="F192" s="1"/>
    </row>
    <row r="193" spans="1:6" x14ac:dyDescent="0.3">
      <c r="A193" s="13">
        <v>44427</v>
      </c>
      <c r="B193" s="1">
        <v>100001</v>
      </c>
      <c r="C193" s="1"/>
      <c r="D193" s="1"/>
      <c r="E193" s="1"/>
      <c r="F193" s="1"/>
    </row>
    <row r="194" spans="1:6" x14ac:dyDescent="0.3">
      <c r="A194" s="13">
        <v>44427</v>
      </c>
      <c r="B194" s="1">
        <v>100002</v>
      </c>
      <c r="C194" s="1">
        <v>8</v>
      </c>
      <c r="D194" s="1">
        <v>47</v>
      </c>
      <c r="E194" s="1">
        <v>16</v>
      </c>
      <c r="F194" s="1">
        <v>10</v>
      </c>
    </row>
    <row r="195" spans="1:6" x14ac:dyDescent="0.3">
      <c r="A195" s="13">
        <v>44427</v>
      </c>
      <c r="B195" s="1">
        <v>100005</v>
      </c>
      <c r="C195" s="1"/>
      <c r="D195" s="1"/>
      <c r="E195" s="1"/>
      <c r="F195" s="1"/>
    </row>
    <row r="196" spans="1:6" x14ac:dyDescent="0.3">
      <c r="A196" s="13">
        <v>44427</v>
      </c>
      <c r="B196" s="1">
        <v>100006</v>
      </c>
      <c r="C196" s="1">
        <v>11</v>
      </c>
      <c r="D196" s="1">
        <v>42</v>
      </c>
      <c r="E196" s="1">
        <v>18</v>
      </c>
      <c r="F196" s="1">
        <v>17</v>
      </c>
    </row>
    <row r="197" spans="1:6" x14ac:dyDescent="0.3">
      <c r="A197" s="13">
        <v>44427</v>
      </c>
      <c r="B197" s="1">
        <v>100010</v>
      </c>
      <c r="C197" s="1"/>
      <c r="D197" s="1"/>
      <c r="E197" s="1"/>
      <c r="F197" s="1"/>
    </row>
    <row r="198" spans="1:6" x14ac:dyDescent="0.3">
      <c r="A198" s="13">
        <v>44427</v>
      </c>
      <c r="B198" s="1">
        <v>100007</v>
      </c>
      <c r="C198" s="1">
        <v>16</v>
      </c>
      <c r="D198" s="1">
        <v>12</v>
      </c>
      <c r="E198" s="1">
        <v>20</v>
      </c>
      <c r="F198" s="1">
        <v>27</v>
      </c>
    </row>
    <row r="199" spans="1:6" x14ac:dyDescent="0.3">
      <c r="A199" s="13">
        <v>44427</v>
      </c>
      <c r="B199" s="1">
        <v>100008</v>
      </c>
      <c r="C199" s="1">
        <v>14</v>
      </c>
      <c r="D199" s="1">
        <v>38</v>
      </c>
      <c r="E199" s="1">
        <v>22</v>
      </c>
      <c r="F199" s="1">
        <v>39</v>
      </c>
    </row>
    <row r="200" spans="1:6" x14ac:dyDescent="0.3">
      <c r="A200" s="13">
        <v>44428</v>
      </c>
      <c r="B200" s="1">
        <v>100001</v>
      </c>
      <c r="C200" s="1">
        <v>11</v>
      </c>
      <c r="D200" s="1">
        <v>50</v>
      </c>
      <c r="E200" s="1">
        <v>18</v>
      </c>
      <c r="F200" s="1">
        <v>33</v>
      </c>
    </row>
    <row r="201" spans="1:6" x14ac:dyDescent="0.3">
      <c r="A201" s="13">
        <v>44428</v>
      </c>
      <c r="B201" s="1">
        <v>100002</v>
      </c>
      <c r="C201" s="1">
        <v>10</v>
      </c>
      <c r="D201" s="1">
        <v>54</v>
      </c>
      <c r="E201" s="1">
        <v>19</v>
      </c>
      <c r="F201" s="1">
        <v>27</v>
      </c>
    </row>
    <row r="202" spans="1:6" x14ac:dyDescent="0.3">
      <c r="A202" s="13">
        <v>44428</v>
      </c>
      <c r="B202" s="1">
        <v>100006</v>
      </c>
      <c r="C202" s="1">
        <v>11</v>
      </c>
      <c r="D202" s="1">
        <v>31</v>
      </c>
      <c r="E202" s="1">
        <v>17</v>
      </c>
      <c r="F202" s="1">
        <v>22</v>
      </c>
    </row>
    <row r="203" spans="1:6" x14ac:dyDescent="0.3">
      <c r="A203" s="13">
        <v>44428</v>
      </c>
      <c r="B203" s="1">
        <v>100010</v>
      </c>
      <c r="C203" s="1">
        <v>9</v>
      </c>
      <c r="D203" s="1">
        <v>42</v>
      </c>
      <c r="E203" s="1">
        <v>20</v>
      </c>
      <c r="F203" s="1">
        <v>6</v>
      </c>
    </row>
    <row r="204" spans="1:6" x14ac:dyDescent="0.3">
      <c r="A204" s="13">
        <v>44428</v>
      </c>
      <c r="B204" s="1">
        <v>100015</v>
      </c>
      <c r="C204" s="1">
        <v>9</v>
      </c>
      <c r="D204" s="1">
        <v>55</v>
      </c>
      <c r="E204" s="1">
        <v>19</v>
      </c>
      <c r="F204" s="1">
        <v>19</v>
      </c>
    </row>
    <row r="205" spans="1:6" x14ac:dyDescent="0.3">
      <c r="A205" s="13">
        <v>44428</v>
      </c>
      <c r="B205" s="1">
        <v>100007</v>
      </c>
      <c r="C205" s="1">
        <v>15</v>
      </c>
      <c r="D205" s="1">
        <v>23</v>
      </c>
      <c r="E205" s="1">
        <v>21</v>
      </c>
      <c r="F205" s="1">
        <v>36</v>
      </c>
    </row>
    <row r="206" spans="1:6" x14ac:dyDescent="0.3">
      <c r="A206" s="13">
        <v>44428</v>
      </c>
      <c r="B206" s="1">
        <v>100011</v>
      </c>
      <c r="C206" s="1">
        <v>14</v>
      </c>
      <c r="D206" s="1">
        <v>17</v>
      </c>
      <c r="E206" s="1">
        <v>22</v>
      </c>
      <c r="F206" s="1">
        <v>27</v>
      </c>
    </row>
    <row r="207" spans="1:6" x14ac:dyDescent="0.3">
      <c r="A207" s="13">
        <v>44428</v>
      </c>
      <c r="B207" s="1">
        <v>100014</v>
      </c>
      <c r="C207" s="1">
        <v>12</v>
      </c>
      <c r="D207" s="1">
        <v>28</v>
      </c>
      <c r="E207" s="1">
        <v>20</v>
      </c>
      <c r="F207" s="1">
        <v>24</v>
      </c>
    </row>
    <row r="208" spans="1:6" x14ac:dyDescent="0.3">
      <c r="A208" s="13">
        <v>44431</v>
      </c>
      <c r="B208" s="1">
        <v>100001</v>
      </c>
      <c r="C208" s="1">
        <v>11</v>
      </c>
      <c r="D208" s="1">
        <v>34</v>
      </c>
      <c r="E208" s="1"/>
      <c r="F208" s="1"/>
    </row>
    <row r="209" spans="1:6" x14ac:dyDescent="0.3">
      <c r="A209" s="13">
        <v>44431</v>
      </c>
      <c r="B209" s="1">
        <v>100002</v>
      </c>
      <c r="C209" s="1">
        <v>9</v>
      </c>
      <c r="D209" s="1">
        <v>45</v>
      </c>
      <c r="E209" s="1">
        <v>17</v>
      </c>
      <c r="F209" s="1">
        <v>58</v>
      </c>
    </row>
    <row r="210" spans="1:6" x14ac:dyDescent="0.3">
      <c r="A210" s="13">
        <v>44431</v>
      </c>
      <c r="B210" s="1">
        <v>100005</v>
      </c>
      <c r="C210" s="1">
        <v>10</v>
      </c>
      <c r="D210" s="1">
        <v>49</v>
      </c>
      <c r="E210" s="1">
        <v>18</v>
      </c>
      <c r="F210" s="1">
        <v>11</v>
      </c>
    </row>
    <row r="211" spans="1:6" x14ac:dyDescent="0.3">
      <c r="A211" s="13">
        <v>44431</v>
      </c>
      <c r="B211" s="1">
        <v>100006</v>
      </c>
      <c r="C211" s="1">
        <v>12</v>
      </c>
      <c r="D211" s="1">
        <v>41</v>
      </c>
      <c r="E211" s="1">
        <v>16</v>
      </c>
      <c r="F211" s="1">
        <v>32</v>
      </c>
    </row>
    <row r="212" spans="1:6" x14ac:dyDescent="0.3">
      <c r="A212" s="13">
        <v>44431</v>
      </c>
      <c r="B212" s="1">
        <v>100010</v>
      </c>
      <c r="C212" s="1">
        <v>9</v>
      </c>
      <c r="D212" s="1">
        <v>29</v>
      </c>
      <c r="E212" s="1"/>
      <c r="F212" s="1"/>
    </row>
    <row r="213" spans="1:6" x14ac:dyDescent="0.3">
      <c r="A213" s="13">
        <v>44431</v>
      </c>
      <c r="B213" s="1">
        <v>100015</v>
      </c>
      <c r="C213" s="1">
        <v>9</v>
      </c>
      <c r="D213" s="1">
        <v>54</v>
      </c>
      <c r="E213" s="1">
        <v>19</v>
      </c>
      <c r="F213" s="1">
        <v>4</v>
      </c>
    </row>
    <row r="214" spans="1:6" x14ac:dyDescent="0.3">
      <c r="A214" s="13">
        <v>44431</v>
      </c>
      <c r="B214" s="1">
        <v>100007</v>
      </c>
      <c r="C214" s="1">
        <v>12</v>
      </c>
      <c r="D214" s="1">
        <v>48</v>
      </c>
      <c r="E214" s="1">
        <v>22</v>
      </c>
      <c r="F214" s="1">
        <v>0</v>
      </c>
    </row>
    <row r="215" spans="1:6" x14ac:dyDescent="0.3">
      <c r="A215" s="13">
        <v>44431</v>
      </c>
      <c r="B215" s="1">
        <v>100008</v>
      </c>
      <c r="C215" s="1">
        <v>11</v>
      </c>
      <c r="D215" s="1">
        <v>6</v>
      </c>
      <c r="E215" s="1">
        <v>21</v>
      </c>
      <c r="F215" s="1">
        <v>8</v>
      </c>
    </row>
    <row r="216" spans="1:6" x14ac:dyDescent="0.3">
      <c r="A216" s="13">
        <v>44431</v>
      </c>
      <c r="B216" s="1">
        <v>100011</v>
      </c>
      <c r="C216" s="1">
        <v>11</v>
      </c>
      <c r="D216" s="1">
        <v>47</v>
      </c>
      <c r="E216" s="1"/>
      <c r="F216" s="1"/>
    </row>
    <row r="217" spans="1:6" x14ac:dyDescent="0.3">
      <c r="A217" s="13">
        <v>44431</v>
      </c>
      <c r="B217" s="1">
        <v>100012</v>
      </c>
      <c r="C217" s="1">
        <v>13</v>
      </c>
      <c r="D217" s="1">
        <v>18</v>
      </c>
      <c r="E217" s="1">
        <v>20</v>
      </c>
      <c r="F217" s="1">
        <v>38</v>
      </c>
    </row>
    <row r="218" spans="1:6" x14ac:dyDescent="0.3">
      <c r="A218" s="13">
        <v>44432</v>
      </c>
      <c r="B218" s="1">
        <v>100001</v>
      </c>
      <c r="C218" s="1"/>
      <c r="D218" s="1"/>
      <c r="E218" s="1"/>
      <c r="F218" s="1"/>
    </row>
    <row r="219" spans="1:6" x14ac:dyDescent="0.3">
      <c r="A219" s="13">
        <v>44432</v>
      </c>
      <c r="B219" s="1">
        <v>100002</v>
      </c>
      <c r="C219" s="1">
        <v>10</v>
      </c>
      <c r="D219" s="1">
        <v>43</v>
      </c>
      <c r="E219" s="1">
        <v>18</v>
      </c>
      <c r="F219" s="1">
        <v>6</v>
      </c>
    </row>
    <row r="220" spans="1:6" x14ac:dyDescent="0.3">
      <c r="A220" s="13">
        <v>44432</v>
      </c>
      <c r="B220" s="1">
        <v>100005</v>
      </c>
      <c r="C220" s="1">
        <v>10</v>
      </c>
      <c r="D220" s="1">
        <v>4</v>
      </c>
      <c r="E220" s="1">
        <v>17</v>
      </c>
      <c r="F220" s="1">
        <v>14</v>
      </c>
    </row>
    <row r="221" spans="1:6" x14ac:dyDescent="0.3">
      <c r="A221" s="13">
        <v>44432</v>
      </c>
      <c r="B221" s="1">
        <v>100006</v>
      </c>
      <c r="C221" s="1">
        <v>10</v>
      </c>
      <c r="D221" s="1">
        <v>26</v>
      </c>
      <c r="E221" s="1">
        <v>19</v>
      </c>
      <c r="F221" s="1">
        <v>13</v>
      </c>
    </row>
    <row r="222" spans="1:6" x14ac:dyDescent="0.3">
      <c r="A222" s="13">
        <v>44432</v>
      </c>
      <c r="B222" s="1">
        <v>100015</v>
      </c>
      <c r="C222" s="1"/>
      <c r="D222" s="1"/>
      <c r="E222" s="1"/>
      <c r="F222" s="1"/>
    </row>
    <row r="223" spans="1:6" x14ac:dyDescent="0.3">
      <c r="A223" s="13">
        <v>44432</v>
      </c>
      <c r="B223" s="1">
        <v>100007</v>
      </c>
      <c r="C223" s="1">
        <v>12</v>
      </c>
      <c r="D223" s="1">
        <v>26</v>
      </c>
      <c r="E223" s="1">
        <v>20</v>
      </c>
      <c r="F223" s="1">
        <v>54</v>
      </c>
    </row>
    <row r="224" spans="1:6" x14ac:dyDescent="0.3">
      <c r="A224" s="13">
        <v>44432</v>
      </c>
      <c r="B224" s="1">
        <v>100012</v>
      </c>
      <c r="C224" s="1">
        <v>12</v>
      </c>
      <c r="D224" s="1">
        <v>28</v>
      </c>
      <c r="E224" s="1">
        <v>21</v>
      </c>
      <c r="F224" s="1">
        <v>37</v>
      </c>
    </row>
    <row r="225" spans="1:6" x14ac:dyDescent="0.3">
      <c r="A225" s="13">
        <v>44433</v>
      </c>
      <c r="B225" s="1">
        <v>100001</v>
      </c>
      <c r="C225" s="1">
        <v>10</v>
      </c>
      <c r="D225" s="1">
        <v>43</v>
      </c>
      <c r="E225" s="1">
        <v>18</v>
      </c>
      <c r="F225" s="1">
        <v>3</v>
      </c>
    </row>
    <row r="226" spans="1:6" x14ac:dyDescent="0.3">
      <c r="A226" s="13">
        <v>44433</v>
      </c>
      <c r="B226" s="1">
        <v>100006</v>
      </c>
      <c r="C226" s="1"/>
      <c r="D226" s="1"/>
      <c r="E226" s="1"/>
      <c r="F226" s="1"/>
    </row>
    <row r="227" spans="1:6" x14ac:dyDescent="0.3">
      <c r="A227" s="13">
        <v>44433</v>
      </c>
      <c r="B227" s="1">
        <v>100010</v>
      </c>
      <c r="C227" s="1">
        <v>10</v>
      </c>
      <c r="D227" s="1">
        <v>15</v>
      </c>
      <c r="E227" s="1">
        <v>16</v>
      </c>
      <c r="F227" s="1">
        <v>43</v>
      </c>
    </row>
    <row r="228" spans="1:6" x14ac:dyDescent="0.3">
      <c r="A228" s="13">
        <v>44433</v>
      </c>
      <c r="B228" s="1">
        <v>100015</v>
      </c>
      <c r="C228" s="1">
        <v>7</v>
      </c>
      <c r="D228" s="1">
        <v>47</v>
      </c>
      <c r="E228" s="1">
        <v>16</v>
      </c>
      <c r="F228" s="1">
        <v>49</v>
      </c>
    </row>
    <row r="229" spans="1:6" x14ac:dyDescent="0.3">
      <c r="A229" s="13">
        <v>44433</v>
      </c>
      <c r="B229" s="1">
        <v>100007</v>
      </c>
      <c r="C229" s="1">
        <v>12</v>
      </c>
      <c r="D229" s="1">
        <v>53</v>
      </c>
      <c r="E229" s="1">
        <v>20</v>
      </c>
      <c r="F229" s="1">
        <v>9</v>
      </c>
    </row>
    <row r="230" spans="1:6" x14ac:dyDescent="0.3">
      <c r="A230" s="13">
        <v>44433</v>
      </c>
      <c r="B230" s="1">
        <v>100008</v>
      </c>
      <c r="C230" s="1">
        <v>13</v>
      </c>
      <c r="D230" s="1">
        <v>44</v>
      </c>
      <c r="E230" s="1">
        <v>22</v>
      </c>
      <c r="F230" s="1">
        <v>56</v>
      </c>
    </row>
    <row r="231" spans="1:6" x14ac:dyDescent="0.3">
      <c r="A231" s="13">
        <v>44433</v>
      </c>
      <c r="B231" s="1">
        <v>100011</v>
      </c>
      <c r="C231" s="1"/>
      <c r="D231" s="1"/>
      <c r="E231" s="1"/>
      <c r="F231" s="1"/>
    </row>
    <row r="232" spans="1:6" x14ac:dyDescent="0.3">
      <c r="A232" s="13">
        <v>44433</v>
      </c>
      <c r="B232" s="1">
        <v>100012</v>
      </c>
      <c r="C232" s="1">
        <v>16</v>
      </c>
      <c r="D232" s="1">
        <v>10</v>
      </c>
      <c r="E232" s="1">
        <v>20</v>
      </c>
      <c r="F232" s="1">
        <v>12</v>
      </c>
    </row>
    <row r="233" spans="1:6" x14ac:dyDescent="0.3">
      <c r="A233" s="13">
        <v>44433</v>
      </c>
      <c r="B233" s="1">
        <v>100014</v>
      </c>
      <c r="C233" s="1">
        <v>13</v>
      </c>
      <c r="D233" s="1">
        <v>34</v>
      </c>
      <c r="E233" s="1">
        <v>20</v>
      </c>
      <c r="F233" s="1">
        <v>7</v>
      </c>
    </row>
    <row r="234" spans="1:6" x14ac:dyDescent="0.3">
      <c r="A234" s="13">
        <v>44434</v>
      </c>
      <c r="B234" s="1">
        <v>100001</v>
      </c>
      <c r="C234" s="1">
        <v>11</v>
      </c>
      <c r="D234" s="1">
        <v>45</v>
      </c>
      <c r="E234" s="1">
        <v>18</v>
      </c>
      <c r="F234" s="1">
        <v>24</v>
      </c>
    </row>
    <row r="235" spans="1:6" x14ac:dyDescent="0.3">
      <c r="A235" s="13">
        <v>44434</v>
      </c>
      <c r="B235" s="1">
        <v>100002</v>
      </c>
      <c r="C235" s="1">
        <v>8</v>
      </c>
      <c r="D235" s="1">
        <v>22</v>
      </c>
      <c r="E235" s="1"/>
      <c r="F235" s="1"/>
    </row>
    <row r="236" spans="1:6" x14ac:dyDescent="0.3">
      <c r="A236" s="13">
        <v>44434</v>
      </c>
      <c r="B236" s="1">
        <v>100005</v>
      </c>
      <c r="C236" s="1">
        <v>9</v>
      </c>
      <c r="D236" s="1">
        <v>45</v>
      </c>
      <c r="E236" s="1">
        <v>16</v>
      </c>
      <c r="F236" s="1">
        <v>12</v>
      </c>
    </row>
    <row r="237" spans="1:6" x14ac:dyDescent="0.3">
      <c r="A237" s="13">
        <v>44434</v>
      </c>
      <c r="B237" s="1">
        <v>100006</v>
      </c>
      <c r="C237" s="1">
        <v>12</v>
      </c>
      <c r="D237" s="1">
        <v>45</v>
      </c>
      <c r="E237" s="1">
        <v>18</v>
      </c>
      <c r="F237" s="1">
        <v>38</v>
      </c>
    </row>
    <row r="238" spans="1:6" x14ac:dyDescent="0.3">
      <c r="A238" s="13">
        <v>44434</v>
      </c>
      <c r="B238" s="1">
        <v>100010</v>
      </c>
      <c r="C238" s="1">
        <v>10</v>
      </c>
      <c r="D238" s="1">
        <v>44</v>
      </c>
      <c r="E238" s="1">
        <v>16</v>
      </c>
      <c r="F238" s="1">
        <v>40</v>
      </c>
    </row>
    <row r="239" spans="1:6" x14ac:dyDescent="0.3">
      <c r="A239" s="13">
        <v>44434</v>
      </c>
      <c r="B239" s="1">
        <v>100015</v>
      </c>
      <c r="C239" s="1">
        <v>10</v>
      </c>
      <c r="D239" s="1">
        <v>39</v>
      </c>
      <c r="E239" s="1"/>
      <c r="F239" s="1"/>
    </row>
    <row r="240" spans="1:6" x14ac:dyDescent="0.3">
      <c r="A240" s="13">
        <v>44434</v>
      </c>
      <c r="B240" s="1">
        <v>100007</v>
      </c>
      <c r="C240" s="1">
        <v>12</v>
      </c>
      <c r="D240" s="1">
        <v>32</v>
      </c>
      <c r="E240" s="1">
        <v>20</v>
      </c>
      <c r="F240" s="1">
        <v>29</v>
      </c>
    </row>
    <row r="241" spans="1:6" x14ac:dyDescent="0.3">
      <c r="A241" s="13">
        <v>44435</v>
      </c>
      <c r="B241" s="1">
        <v>100001</v>
      </c>
      <c r="C241" s="1">
        <v>12</v>
      </c>
      <c r="D241" s="1">
        <v>30</v>
      </c>
      <c r="E241" s="1">
        <v>18</v>
      </c>
      <c r="F241" s="1">
        <v>23</v>
      </c>
    </row>
    <row r="242" spans="1:6" x14ac:dyDescent="0.3">
      <c r="A242" s="13">
        <v>44435</v>
      </c>
      <c r="B242" s="1">
        <v>100005</v>
      </c>
      <c r="C242" s="1"/>
      <c r="D242" s="1"/>
      <c r="E242" s="1"/>
      <c r="F242" s="1"/>
    </row>
    <row r="243" spans="1:6" x14ac:dyDescent="0.3">
      <c r="A243" s="13">
        <v>44435</v>
      </c>
      <c r="B243" s="1">
        <v>100006</v>
      </c>
      <c r="C243" s="1">
        <v>8</v>
      </c>
      <c r="D243" s="1">
        <v>3</v>
      </c>
      <c r="E243" s="1">
        <v>20</v>
      </c>
      <c r="F243" s="1">
        <v>33</v>
      </c>
    </row>
    <row r="244" spans="1:6" x14ac:dyDescent="0.3">
      <c r="A244" s="13">
        <v>44435</v>
      </c>
      <c r="B244" s="1">
        <v>100010</v>
      </c>
      <c r="C244" s="1">
        <v>9</v>
      </c>
      <c r="D244" s="1">
        <v>41</v>
      </c>
      <c r="E244" s="1">
        <v>17</v>
      </c>
      <c r="F244" s="1">
        <v>12</v>
      </c>
    </row>
    <row r="245" spans="1:6" x14ac:dyDescent="0.3">
      <c r="A245" s="13">
        <v>44435</v>
      </c>
      <c r="B245" s="1">
        <v>100015</v>
      </c>
      <c r="C245" s="1">
        <v>9</v>
      </c>
      <c r="D245" s="1">
        <v>47</v>
      </c>
      <c r="E245" s="1"/>
      <c r="F245" s="1"/>
    </row>
    <row r="246" spans="1:6" x14ac:dyDescent="0.3">
      <c r="A246" s="13">
        <v>44435</v>
      </c>
      <c r="B246" s="1">
        <v>100007</v>
      </c>
      <c r="C246" s="1">
        <v>11</v>
      </c>
      <c r="D246" s="1">
        <v>13</v>
      </c>
      <c r="E246" s="1">
        <v>20</v>
      </c>
      <c r="F246" s="1">
        <v>39</v>
      </c>
    </row>
    <row r="247" spans="1:6" x14ac:dyDescent="0.3">
      <c r="A247" s="13">
        <v>44435</v>
      </c>
      <c r="B247" s="1">
        <v>100008</v>
      </c>
      <c r="C247" s="1">
        <v>12</v>
      </c>
      <c r="D247" s="1">
        <v>58</v>
      </c>
      <c r="E247" s="1">
        <v>21</v>
      </c>
      <c r="F247" s="1">
        <v>53</v>
      </c>
    </row>
    <row r="248" spans="1:6" x14ac:dyDescent="0.3">
      <c r="A248" s="13">
        <v>44438</v>
      </c>
      <c r="B248" s="1">
        <v>100001</v>
      </c>
      <c r="C248" s="1">
        <v>9</v>
      </c>
      <c r="D248" s="1">
        <v>11</v>
      </c>
      <c r="E248" s="1">
        <v>20</v>
      </c>
      <c r="F248" s="1">
        <v>2</v>
      </c>
    </row>
    <row r="249" spans="1:6" x14ac:dyDescent="0.3">
      <c r="A249" s="13">
        <v>44438</v>
      </c>
      <c r="B249" s="1">
        <v>100005</v>
      </c>
      <c r="C249" s="1">
        <v>10</v>
      </c>
      <c r="D249" s="1">
        <v>7</v>
      </c>
      <c r="E249" s="1">
        <v>16</v>
      </c>
      <c r="F249" s="1">
        <v>34</v>
      </c>
    </row>
    <row r="250" spans="1:6" x14ac:dyDescent="0.3">
      <c r="A250" s="13">
        <v>44438</v>
      </c>
      <c r="B250" s="1">
        <v>100006</v>
      </c>
      <c r="C250" s="1">
        <v>9</v>
      </c>
      <c r="D250" s="1">
        <v>18</v>
      </c>
      <c r="E250" s="1">
        <v>18</v>
      </c>
      <c r="F250" s="1">
        <v>33</v>
      </c>
    </row>
    <row r="251" spans="1:6" x14ac:dyDescent="0.3">
      <c r="A251" s="13">
        <v>44438</v>
      </c>
      <c r="B251" s="1">
        <v>100010</v>
      </c>
      <c r="C251" s="1">
        <v>8</v>
      </c>
      <c r="D251" s="1">
        <v>48</v>
      </c>
      <c r="E251" s="1">
        <v>18</v>
      </c>
      <c r="F251" s="1">
        <v>57</v>
      </c>
    </row>
    <row r="252" spans="1:6" x14ac:dyDescent="0.3">
      <c r="A252" s="13">
        <v>44438</v>
      </c>
      <c r="B252" s="1">
        <v>100015</v>
      </c>
      <c r="C252" s="1">
        <v>10</v>
      </c>
      <c r="D252" s="1">
        <v>58</v>
      </c>
      <c r="E252" s="1">
        <v>19</v>
      </c>
      <c r="F252" s="1">
        <v>35</v>
      </c>
    </row>
    <row r="253" spans="1:6" x14ac:dyDescent="0.3">
      <c r="A253" s="13">
        <v>44438</v>
      </c>
      <c r="B253" s="1">
        <v>100007</v>
      </c>
      <c r="C253" s="1"/>
      <c r="D253" s="1"/>
      <c r="E253" s="1"/>
      <c r="F253" s="1"/>
    </row>
    <row r="254" spans="1:6" x14ac:dyDescent="0.3">
      <c r="A254" s="13">
        <v>44438</v>
      </c>
      <c r="B254" s="1">
        <v>100011</v>
      </c>
      <c r="C254" s="1">
        <v>14</v>
      </c>
      <c r="D254" s="1">
        <v>21</v>
      </c>
      <c r="E254" s="1">
        <v>20</v>
      </c>
      <c r="F254" s="1">
        <v>29</v>
      </c>
    </row>
    <row r="255" spans="1:6" x14ac:dyDescent="0.3">
      <c r="A255" s="13">
        <v>44438</v>
      </c>
      <c r="B255" s="1">
        <v>100012</v>
      </c>
      <c r="C255" s="1">
        <v>11</v>
      </c>
      <c r="D255" s="1">
        <v>11</v>
      </c>
      <c r="E255" s="1">
        <v>21</v>
      </c>
      <c r="F255" s="1">
        <v>54</v>
      </c>
    </row>
    <row r="256" spans="1:6" x14ac:dyDescent="0.3">
      <c r="A256" s="13">
        <v>44438</v>
      </c>
      <c r="B256" s="1">
        <v>100014</v>
      </c>
      <c r="C256" s="1">
        <v>12</v>
      </c>
      <c r="D256" s="1">
        <v>37</v>
      </c>
      <c r="E256" s="1">
        <v>21</v>
      </c>
      <c r="F256" s="1">
        <v>12</v>
      </c>
    </row>
    <row r="257" spans="1:6" x14ac:dyDescent="0.3">
      <c r="A257" s="13">
        <v>44439</v>
      </c>
      <c r="B257" s="1">
        <v>100001</v>
      </c>
      <c r="C257" s="1">
        <v>12</v>
      </c>
      <c r="D257" s="1">
        <v>11</v>
      </c>
      <c r="E257" s="1">
        <v>20</v>
      </c>
      <c r="F257" s="1">
        <v>19</v>
      </c>
    </row>
    <row r="258" spans="1:6" x14ac:dyDescent="0.3">
      <c r="A258" s="13">
        <v>44439</v>
      </c>
      <c r="B258" s="1">
        <v>100002</v>
      </c>
      <c r="C258" s="1">
        <v>9</v>
      </c>
      <c r="D258" s="1">
        <v>23</v>
      </c>
      <c r="E258" s="1">
        <v>19</v>
      </c>
      <c r="F258" s="1">
        <v>15</v>
      </c>
    </row>
    <row r="259" spans="1:6" x14ac:dyDescent="0.3">
      <c r="A259" s="13">
        <v>44439</v>
      </c>
      <c r="B259" s="1">
        <v>100005</v>
      </c>
      <c r="C259" s="1">
        <v>7</v>
      </c>
      <c r="D259" s="1">
        <v>3</v>
      </c>
      <c r="E259" s="1">
        <v>18</v>
      </c>
      <c r="F259" s="1">
        <v>14</v>
      </c>
    </row>
    <row r="260" spans="1:6" x14ac:dyDescent="0.3">
      <c r="A260" s="13">
        <v>44439</v>
      </c>
      <c r="B260" s="1">
        <v>100006</v>
      </c>
      <c r="C260" s="1">
        <v>8</v>
      </c>
      <c r="D260" s="1">
        <v>27</v>
      </c>
      <c r="E260" s="1">
        <v>19</v>
      </c>
      <c r="F260" s="1">
        <v>21</v>
      </c>
    </row>
    <row r="261" spans="1:6" x14ac:dyDescent="0.3">
      <c r="A261" s="13">
        <v>44439</v>
      </c>
      <c r="B261" s="1">
        <v>100010</v>
      </c>
      <c r="C261" s="1">
        <v>11</v>
      </c>
      <c r="D261" s="1">
        <v>23</v>
      </c>
      <c r="E261" s="1">
        <v>19</v>
      </c>
      <c r="F261" s="1">
        <v>44</v>
      </c>
    </row>
    <row r="262" spans="1:6" x14ac:dyDescent="0.3">
      <c r="A262" s="13">
        <v>44439</v>
      </c>
      <c r="B262" s="1">
        <v>100015</v>
      </c>
      <c r="C262" s="1">
        <v>8</v>
      </c>
      <c r="D262" s="1">
        <v>42</v>
      </c>
      <c r="E262" s="1"/>
      <c r="F262" s="1"/>
    </row>
    <row r="263" spans="1:6" x14ac:dyDescent="0.3">
      <c r="A263" s="13">
        <v>44439</v>
      </c>
      <c r="B263" s="1">
        <v>100007</v>
      </c>
      <c r="C263" s="1">
        <v>11</v>
      </c>
      <c r="D263" s="1">
        <v>41</v>
      </c>
      <c r="E263" s="1"/>
      <c r="F263" s="1"/>
    </row>
    <row r="264" spans="1:6" x14ac:dyDescent="0.3">
      <c r="A264" s="13">
        <v>44439</v>
      </c>
      <c r="B264" s="1">
        <v>100008</v>
      </c>
      <c r="C264" s="1">
        <v>14</v>
      </c>
      <c r="D264" s="1">
        <v>13</v>
      </c>
      <c r="E264" s="1">
        <v>21</v>
      </c>
      <c r="F264" s="1">
        <v>15</v>
      </c>
    </row>
    <row r="265" spans="1:6" x14ac:dyDescent="0.3">
      <c r="A265" s="13">
        <v>44439</v>
      </c>
      <c r="B265" s="1">
        <v>100012</v>
      </c>
      <c r="C265" s="1"/>
      <c r="D265" s="1"/>
      <c r="E265" s="1"/>
      <c r="F265" s="1"/>
    </row>
    <row r="266" spans="1:6" x14ac:dyDescent="0.3">
      <c r="A266" s="13">
        <v>44440</v>
      </c>
      <c r="B266" s="1">
        <v>100002</v>
      </c>
      <c r="C266" s="1"/>
      <c r="D266" s="1"/>
      <c r="E266" s="1"/>
      <c r="F266" s="1"/>
    </row>
    <row r="267" spans="1:6" x14ac:dyDescent="0.3">
      <c r="A267" s="13">
        <v>44440</v>
      </c>
      <c r="B267" s="1">
        <v>100005</v>
      </c>
      <c r="C267" s="1">
        <v>11</v>
      </c>
      <c r="D267" s="1">
        <v>53</v>
      </c>
      <c r="E267" s="1">
        <v>16</v>
      </c>
      <c r="F267" s="1">
        <v>54</v>
      </c>
    </row>
    <row r="268" spans="1:6" x14ac:dyDescent="0.3">
      <c r="A268" s="13">
        <v>44440</v>
      </c>
      <c r="B268" s="1">
        <v>100006</v>
      </c>
      <c r="C268" s="1">
        <v>9</v>
      </c>
      <c r="D268" s="1">
        <v>42</v>
      </c>
      <c r="E268" s="1">
        <v>17</v>
      </c>
      <c r="F268" s="1">
        <v>50</v>
      </c>
    </row>
    <row r="269" spans="1:6" x14ac:dyDescent="0.3">
      <c r="A269" s="13">
        <v>44440</v>
      </c>
      <c r="B269" s="1">
        <v>100010</v>
      </c>
      <c r="C269" s="1">
        <v>11</v>
      </c>
      <c r="D269" s="1">
        <v>17</v>
      </c>
      <c r="E269" s="1">
        <v>16</v>
      </c>
      <c r="F269" s="1">
        <v>52</v>
      </c>
    </row>
    <row r="270" spans="1:6" x14ac:dyDescent="0.3">
      <c r="A270" s="13">
        <v>44440</v>
      </c>
      <c r="B270" s="1">
        <v>100015</v>
      </c>
      <c r="C270" s="1">
        <v>9</v>
      </c>
      <c r="D270" s="1">
        <v>46</v>
      </c>
      <c r="E270" s="1">
        <v>16</v>
      </c>
      <c r="F270" s="1">
        <v>19</v>
      </c>
    </row>
    <row r="271" spans="1:6" x14ac:dyDescent="0.3">
      <c r="A271" s="13">
        <v>44440</v>
      </c>
      <c r="B271" s="1">
        <v>100007</v>
      </c>
      <c r="C271" s="1">
        <v>13</v>
      </c>
      <c r="D271" s="1">
        <v>40</v>
      </c>
      <c r="E271" s="1">
        <v>20</v>
      </c>
      <c r="F271" s="1">
        <v>24</v>
      </c>
    </row>
    <row r="272" spans="1:6" x14ac:dyDescent="0.3">
      <c r="A272" s="13">
        <v>44441</v>
      </c>
      <c r="B272" s="1">
        <v>100001</v>
      </c>
      <c r="C272" s="1">
        <v>11</v>
      </c>
      <c r="D272" s="1">
        <v>19</v>
      </c>
      <c r="E272" s="1">
        <v>18</v>
      </c>
      <c r="F272" s="1">
        <v>57</v>
      </c>
    </row>
    <row r="273" spans="1:6" x14ac:dyDescent="0.3">
      <c r="A273" s="13">
        <v>44441</v>
      </c>
      <c r="B273" s="1">
        <v>100002</v>
      </c>
      <c r="C273" s="1"/>
      <c r="D273" s="1"/>
      <c r="E273" s="1"/>
      <c r="F273" s="1"/>
    </row>
    <row r="274" spans="1:6" x14ac:dyDescent="0.3">
      <c r="A274" s="13">
        <v>44441</v>
      </c>
      <c r="B274" s="1">
        <v>100005</v>
      </c>
      <c r="C274" s="1">
        <v>11</v>
      </c>
      <c r="D274" s="1">
        <v>18</v>
      </c>
      <c r="E274" s="1">
        <v>20</v>
      </c>
      <c r="F274" s="1">
        <v>52</v>
      </c>
    </row>
    <row r="275" spans="1:6" x14ac:dyDescent="0.3">
      <c r="A275" s="13">
        <v>44441</v>
      </c>
      <c r="B275" s="1">
        <v>100006</v>
      </c>
      <c r="C275" s="1">
        <v>12</v>
      </c>
      <c r="D275" s="1">
        <v>11</v>
      </c>
      <c r="E275" s="1">
        <v>16</v>
      </c>
      <c r="F275" s="1">
        <v>24</v>
      </c>
    </row>
    <row r="276" spans="1:6" x14ac:dyDescent="0.3">
      <c r="A276" s="13">
        <v>44441</v>
      </c>
      <c r="B276" s="1">
        <v>100010</v>
      </c>
      <c r="C276" s="1">
        <v>7</v>
      </c>
      <c r="D276" s="1">
        <v>25</v>
      </c>
      <c r="E276" s="1">
        <v>17</v>
      </c>
      <c r="F276" s="1">
        <v>40</v>
      </c>
    </row>
    <row r="277" spans="1:6" x14ac:dyDescent="0.3">
      <c r="A277" s="13">
        <v>44441</v>
      </c>
      <c r="B277" s="1">
        <v>100015</v>
      </c>
      <c r="C277" s="1">
        <v>12</v>
      </c>
      <c r="D277" s="1">
        <v>29</v>
      </c>
      <c r="E277" s="1">
        <v>19</v>
      </c>
      <c r="F277" s="1">
        <v>29</v>
      </c>
    </row>
    <row r="278" spans="1:6" x14ac:dyDescent="0.3">
      <c r="A278" s="13">
        <v>44441</v>
      </c>
      <c r="B278" s="1">
        <v>100007</v>
      </c>
      <c r="C278" s="1">
        <v>17</v>
      </c>
      <c r="D278" s="1">
        <v>14</v>
      </c>
      <c r="E278" s="1">
        <v>22</v>
      </c>
      <c r="F278" s="1">
        <v>24</v>
      </c>
    </row>
    <row r="279" spans="1:6" x14ac:dyDescent="0.3">
      <c r="A279" s="13">
        <v>44441</v>
      </c>
      <c r="B279" s="1">
        <v>100008</v>
      </c>
      <c r="C279" s="1">
        <v>15</v>
      </c>
      <c r="D279" s="1">
        <v>1</v>
      </c>
      <c r="E279" s="1">
        <v>22</v>
      </c>
      <c r="F279" s="1">
        <v>25</v>
      </c>
    </row>
    <row r="280" spans="1:6" x14ac:dyDescent="0.3">
      <c r="A280" s="13">
        <v>44442</v>
      </c>
      <c r="B280" s="1">
        <v>100001</v>
      </c>
      <c r="C280" s="1">
        <v>10</v>
      </c>
      <c r="D280" s="1">
        <v>25</v>
      </c>
      <c r="E280" s="1">
        <v>20</v>
      </c>
      <c r="F280" s="1">
        <v>7</v>
      </c>
    </row>
    <row r="281" spans="1:6" x14ac:dyDescent="0.3">
      <c r="A281" s="13">
        <v>44442</v>
      </c>
      <c r="B281" s="1">
        <v>100002</v>
      </c>
      <c r="C281" s="1">
        <v>7</v>
      </c>
      <c r="D281" s="1">
        <v>50</v>
      </c>
      <c r="E281" s="1">
        <v>17</v>
      </c>
      <c r="F281" s="1">
        <v>38</v>
      </c>
    </row>
    <row r="282" spans="1:6" x14ac:dyDescent="0.3">
      <c r="A282" s="13">
        <v>44442</v>
      </c>
      <c r="B282" s="1">
        <v>100005</v>
      </c>
      <c r="C282" s="1">
        <v>9</v>
      </c>
      <c r="D282" s="1">
        <v>3</v>
      </c>
      <c r="E282" s="1">
        <v>18</v>
      </c>
      <c r="F282" s="1">
        <v>12</v>
      </c>
    </row>
    <row r="283" spans="1:6" x14ac:dyDescent="0.3">
      <c r="A283" s="13">
        <v>44442</v>
      </c>
      <c r="B283" s="1">
        <v>100006</v>
      </c>
      <c r="C283" s="1">
        <v>9</v>
      </c>
      <c r="D283" s="1">
        <v>18</v>
      </c>
      <c r="E283" s="1">
        <v>18</v>
      </c>
      <c r="F283" s="1">
        <v>19</v>
      </c>
    </row>
    <row r="284" spans="1:6" x14ac:dyDescent="0.3">
      <c r="A284" s="13">
        <v>44442</v>
      </c>
      <c r="B284" s="1">
        <v>100010</v>
      </c>
      <c r="C284" s="1">
        <v>10</v>
      </c>
      <c r="D284" s="1">
        <v>33</v>
      </c>
      <c r="E284" s="1">
        <v>17</v>
      </c>
      <c r="F284" s="1">
        <v>40</v>
      </c>
    </row>
    <row r="285" spans="1:6" x14ac:dyDescent="0.3">
      <c r="A285" s="13">
        <v>44442</v>
      </c>
      <c r="B285" s="1">
        <v>100015</v>
      </c>
      <c r="C285" s="1">
        <v>8</v>
      </c>
      <c r="D285" s="1">
        <v>37</v>
      </c>
      <c r="E285" s="1">
        <v>16</v>
      </c>
      <c r="F285" s="1">
        <v>56</v>
      </c>
    </row>
    <row r="286" spans="1:6" x14ac:dyDescent="0.3">
      <c r="A286" s="13">
        <v>44442</v>
      </c>
      <c r="B286" s="1">
        <v>100007</v>
      </c>
      <c r="C286" s="1">
        <v>16</v>
      </c>
      <c r="D286" s="1">
        <v>8</v>
      </c>
      <c r="E286" s="1">
        <v>21</v>
      </c>
      <c r="F286" s="1">
        <v>13</v>
      </c>
    </row>
    <row r="287" spans="1:6" x14ac:dyDescent="0.3">
      <c r="A287" s="13">
        <v>44442</v>
      </c>
      <c r="B287" s="1">
        <v>100012</v>
      </c>
      <c r="C287" s="1">
        <v>12</v>
      </c>
      <c r="D287" s="1">
        <v>38</v>
      </c>
      <c r="E287" s="1">
        <v>22</v>
      </c>
      <c r="F287" s="1">
        <v>23</v>
      </c>
    </row>
    <row r="288" spans="1:6" x14ac:dyDescent="0.3">
      <c r="A288" s="13">
        <v>44442</v>
      </c>
      <c r="B288" s="1">
        <v>100013</v>
      </c>
      <c r="C288" s="1">
        <v>17</v>
      </c>
      <c r="D288" s="1">
        <v>36</v>
      </c>
      <c r="E288" s="1">
        <v>22</v>
      </c>
      <c r="F288" s="1">
        <v>1</v>
      </c>
    </row>
    <row r="289" spans="1:6" x14ac:dyDescent="0.3">
      <c r="A289" s="13">
        <v>44445</v>
      </c>
      <c r="B289" s="1">
        <v>100001</v>
      </c>
      <c r="C289" s="1"/>
      <c r="D289" s="1"/>
      <c r="E289" s="1"/>
      <c r="F289" s="1"/>
    </row>
    <row r="290" spans="1:6" x14ac:dyDescent="0.3">
      <c r="A290" s="13">
        <v>44445</v>
      </c>
      <c r="B290" s="1">
        <v>100005</v>
      </c>
      <c r="C290" s="1">
        <v>12</v>
      </c>
      <c r="D290" s="1">
        <v>5</v>
      </c>
      <c r="E290" s="1">
        <v>18</v>
      </c>
      <c r="F290" s="1">
        <v>35</v>
      </c>
    </row>
    <row r="291" spans="1:6" x14ac:dyDescent="0.3">
      <c r="A291" s="13">
        <v>44445</v>
      </c>
      <c r="B291" s="1">
        <v>100010</v>
      </c>
      <c r="C291" s="1">
        <v>8</v>
      </c>
      <c r="D291" s="1">
        <v>7</v>
      </c>
      <c r="E291" s="1">
        <v>16</v>
      </c>
      <c r="F291" s="1">
        <v>24</v>
      </c>
    </row>
    <row r="292" spans="1:6" x14ac:dyDescent="0.3">
      <c r="A292" s="13">
        <v>44445</v>
      </c>
      <c r="B292" s="1">
        <v>100007</v>
      </c>
      <c r="C292" s="1">
        <v>17</v>
      </c>
      <c r="D292" s="1">
        <v>15</v>
      </c>
      <c r="E292" s="1">
        <v>21</v>
      </c>
      <c r="F292" s="1">
        <v>7</v>
      </c>
    </row>
    <row r="293" spans="1:6" x14ac:dyDescent="0.3">
      <c r="A293" s="13">
        <v>44445</v>
      </c>
      <c r="B293" s="1">
        <v>100011</v>
      </c>
      <c r="C293" s="1">
        <v>12</v>
      </c>
      <c r="D293" s="1">
        <v>10</v>
      </c>
      <c r="E293" s="1">
        <v>21</v>
      </c>
      <c r="F293" s="1">
        <v>14</v>
      </c>
    </row>
    <row r="294" spans="1:6" x14ac:dyDescent="0.3">
      <c r="A294" s="13">
        <v>44445</v>
      </c>
      <c r="B294" s="1">
        <v>100014</v>
      </c>
      <c r="C294" s="1">
        <v>15</v>
      </c>
      <c r="D294" s="1">
        <v>46</v>
      </c>
      <c r="E294" s="1">
        <v>20</v>
      </c>
      <c r="F294" s="1">
        <v>4</v>
      </c>
    </row>
    <row r="295" spans="1:6" x14ac:dyDescent="0.3">
      <c r="A295" s="13">
        <v>44446</v>
      </c>
      <c r="B295" s="1">
        <v>100001</v>
      </c>
      <c r="C295" s="1">
        <v>8</v>
      </c>
      <c r="D295" s="1">
        <v>42</v>
      </c>
      <c r="E295" s="1">
        <v>19</v>
      </c>
      <c r="F295" s="1">
        <v>23</v>
      </c>
    </row>
    <row r="296" spans="1:6" x14ac:dyDescent="0.3">
      <c r="A296" s="13">
        <v>44446</v>
      </c>
      <c r="B296" s="1">
        <v>100002</v>
      </c>
      <c r="C296" s="1"/>
      <c r="D296" s="1"/>
      <c r="E296" s="1"/>
      <c r="F296" s="1"/>
    </row>
    <row r="297" spans="1:6" x14ac:dyDescent="0.3">
      <c r="A297" s="13">
        <v>44446</v>
      </c>
      <c r="B297" s="1">
        <v>100006</v>
      </c>
      <c r="C297" s="1">
        <v>12</v>
      </c>
      <c r="D297" s="1">
        <v>19</v>
      </c>
      <c r="E297" s="1">
        <v>17</v>
      </c>
      <c r="F297" s="1">
        <v>17</v>
      </c>
    </row>
    <row r="298" spans="1:6" x14ac:dyDescent="0.3">
      <c r="A298" s="13">
        <v>44446</v>
      </c>
      <c r="B298" s="1">
        <v>100010</v>
      </c>
      <c r="C298" s="1">
        <v>10</v>
      </c>
      <c r="D298" s="1">
        <v>9</v>
      </c>
      <c r="E298" s="1"/>
      <c r="F298" s="1"/>
    </row>
    <row r="299" spans="1:6" x14ac:dyDescent="0.3">
      <c r="A299" s="13">
        <v>44446</v>
      </c>
      <c r="B299" s="1">
        <v>100015</v>
      </c>
      <c r="C299" s="1">
        <v>11</v>
      </c>
      <c r="D299" s="1">
        <v>5</v>
      </c>
      <c r="E299" s="1">
        <v>19</v>
      </c>
      <c r="F299" s="1">
        <v>36</v>
      </c>
    </row>
    <row r="300" spans="1:6" x14ac:dyDescent="0.3">
      <c r="A300" s="13">
        <v>44446</v>
      </c>
      <c r="B300" s="1">
        <v>100007</v>
      </c>
      <c r="C300" s="1">
        <v>14</v>
      </c>
      <c r="D300" s="1">
        <v>54</v>
      </c>
      <c r="E300" s="1">
        <v>22</v>
      </c>
      <c r="F300" s="1">
        <v>22</v>
      </c>
    </row>
    <row r="301" spans="1:6" x14ac:dyDescent="0.3">
      <c r="A301" s="13">
        <v>44447</v>
      </c>
      <c r="B301" s="1">
        <v>100001</v>
      </c>
      <c r="C301" s="1">
        <v>7</v>
      </c>
      <c r="D301" s="1">
        <v>26</v>
      </c>
      <c r="E301" s="1">
        <v>18</v>
      </c>
      <c r="F301" s="1">
        <v>49</v>
      </c>
    </row>
    <row r="302" spans="1:6" x14ac:dyDescent="0.3">
      <c r="A302" s="13">
        <v>44447</v>
      </c>
      <c r="B302" s="1">
        <v>100002</v>
      </c>
      <c r="C302" s="1">
        <v>7</v>
      </c>
      <c r="D302" s="1">
        <v>57</v>
      </c>
      <c r="E302" s="1">
        <v>18</v>
      </c>
      <c r="F302" s="1">
        <v>45</v>
      </c>
    </row>
    <row r="303" spans="1:6" x14ac:dyDescent="0.3">
      <c r="A303" s="13">
        <v>44447</v>
      </c>
      <c r="B303" s="1">
        <v>100005</v>
      </c>
      <c r="C303" s="1">
        <v>10</v>
      </c>
      <c r="D303" s="1">
        <v>22</v>
      </c>
      <c r="E303" s="1">
        <v>19</v>
      </c>
      <c r="F303" s="1">
        <v>9</v>
      </c>
    </row>
    <row r="304" spans="1:6" x14ac:dyDescent="0.3">
      <c r="A304" s="13">
        <v>44447</v>
      </c>
      <c r="B304" s="1">
        <v>100006</v>
      </c>
      <c r="C304" s="1">
        <v>11</v>
      </c>
      <c r="D304" s="1">
        <v>49</v>
      </c>
      <c r="E304" s="1">
        <v>20</v>
      </c>
      <c r="F304" s="1">
        <v>57</v>
      </c>
    </row>
    <row r="305" spans="1:6" x14ac:dyDescent="0.3">
      <c r="A305" s="13">
        <v>44447</v>
      </c>
      <c r="B305" s="1">
        <v>100010</v>
      </c>
      <c r="C305" s="1">
        <v>9</v>
      </c>
      <c r="D305" s="1">
        <v>31</v>
      </c>
      <c r="E305" s="1">
        <v>18</v>
      </c>
      <c r="F305" s="1">
        <v>25</v>
      </c>
    </row>
    <row r="306" spans="1:6" x14ac:dyDescent="0.3">
      <c r="A306" s="13">
        <v>44447</v>
      </c>
      <c r="B306" s="1">
        <v>100015</v>
      </c>
      <c r="C306" s="1">
        <v>11</v>
      </c>
      <c r="D306" s="1">
        <v>16</v>
      </c>
      <c r="E306" s="1">
        <v>20</v>
      </c>
      <c r="F306" s="1">
        <v>28</v>
      </c>
    </row>
    <row r="307" spans="1:6" x14ac:dyDescent="0.3">
      <c r="A307" s="13">
        <v>44447</v>
      </c>
      <c r="B307" s="1">
        <v>100007</v>
      </c>
      <c r="C307" s="1">
        <v>12</v>
      </c>
      <c r="D307" s="1">
        <v>10</v>
      </c>
      <c r="E307" s="1">
        <v>20</v>
      </c>
      <c r="F307" s="1">
        <v>26</v>
      </c>
    </row>
    <row r="308" spans="1:6" x14ac:dyDescent="0.3">
      <c r="A308" s="13">
        <v>44447</v>
      </c>
      <c r="B308" s="1">
        <v>100011</v>
      </c>
      <c r="C308" s="1">
        <v>14</v>
      </c>
      <c r="D308" s="1">
        <v>37</v>
      </c>
      <c r="E308" s="1">
        <v>22</v>
      </c>
      <c r="F308" s="1">
        <v>6</v>
      </c>
    </row>
    <row r="309" spans="1:6" x14ac:dyDescent="0.3">
      <c r="A309" s="13">
        <v>44447</v>
      </c>
      <c r="B309" s="1">
        <v>100014</v>
      </c>
      <c r="C309" s="1">
        <v>15</v>
      </c>
      <c r="D309" s="1">
        <v>48</v>
      </c>
      <c r="E309" s="1">
        <v>21</v>
      </c>
      <c r="F309" s="1">
        <v>42</v>
      </c>
    </row>
    <row r="310" spans="1:6" x14ac:dyDescent="0.3">
      <c r="A310" s="13">
        <v>44448</v>
      </c>
      <c r="B310" s="1">
        <v>100001</v>
      </c>
      <c r="C310" s="1">
        <v>9</v>
      </c>
      <c r="D310" s="1">
        <v>7</v>
      </c>
      <c r="E310" s="1">
        <v>20</v>
      </c>
      <c r="F310" s="1">
        <v>20</v>
      </c>
    </row>
    <row r="311" spans="1:6" x14ac:dyDescent="0.3">
      <c r="A311" s="13">
        <v>44448</v>
      </c>
      <c r="B311" s="1">
        <v>100002</v>
      </c>
      <c r="C311" s="1">
        <v>12</v>
      </c>
      <c r="D311" s="1">
        <v>11</v>
      </c>
      <c r="E311" s="1"/>
      <c r="F311" s="1"/>
    </row>
    <row r="312" spans="1:6" x14ac:dyDescent="0.3">
      <c r="A312" s="13">
        <v>44448</v>
      </c>
      <c r="B312" s="1">
        <v>100005</v>
      </c>
      <c r="C312" s="1">
        <v>8</v>
      </c>
      <c r="D312" s="1">
        <v>27</v>
      </c>
      <c r="E312" s="1">
        <v>16</v>
      </c>
      <c r="F312" s="1">
        <v>18</v>
      </c>
    </row>
    <row r="313" spans="1:6" x14ac:dyDescent="0.3">
      <c r="A313" s="13">
        <v>44448</v>
      </c>
      <c r="B313" s="1">
        <v>100010</v>
      </c>
      <c r="C313" s="1">
        <v>10</v>
      </c>
      <c r="D313" s="1">
        <v>22</v>
      </c>
      <c r="E313" s="1">
        <v>19</v>
      </c>
      <c r="F313" s="1">
        <v>14</v>
      </c>
    </row>
    <row r="314" spans="1:6" x14ac:dyDescent="0.3">
      <c r="A314" s="13">
        <v>44448</v>
      </c>
      <c r="B314" s="1">
        <v>100015</v>
      </c>
      <c r="C314" s="1">
        <v>10</v>
      </c>
      <c r="D314" s="1">
        <v>58</v>
      </c>
      <c r="E314" s="1">
        <v>20</v>
      </c>
      <c r="F314" s="1">
        <v>19</v>
      </c>
    </row>
    <row r="315" spans="1:6" x14ac:dyDescent="0.3">
      <c r="A315" s="13">
        <v>44448</v>
      </c>
      <c r="B315" s="1">
        <v>100007</v>
      </c>
      <c r="C315" s="1">
        <v>13</v>
      </c>
      <c r="D315" s="1">
        <v>25</v>
      </c>
      <c r="E315" s="1">
        <v>20</v>
      </c>
      <c r="F315" s="1">
        <v>3</v>
      </c>
    </row>
    <row r="316" spans="1:6" x14ac:dyDescent="0.3">
      <c r="A316" s="13">
        <v>44448</v>
      </c>
      <c r="B316" s="1">
        <v>100011</v>
      </c>
      <c r="C316" s="1">
        <v>16</v>
      </c>
      <c r="D316" s="1">
        <v>35</v>
      </c>
      <c r="E316" s="1">
        <v>20</v>
      </c>
      <c r="F316" s="1">
        <v>48</v>
      </c>
    </row>
    <row r="317" spans="1:6" x14ac:dyDescent="0.3">
      <c r="A317" s="13">
        <v>44449</v>
      </c>
      <c r="B317" s="1">
        <v>100001</v>
      </c>
      <c r="C317" s="1">
        <v>9</v>
      </c>
      <c r="D317" s="1">
        <v>16</v>
      </c>
      <c r="E317" s="1">
        <v>16</v>
      </c>
      <c r="F317" s="1">
        <v>16</v>
      </c>
    </row>
    <row r="318" spans="1:6" x14ac:dyDescent="0.3">
      <c r="A318" s="13">
        <v>44449</v>
      </c>
      <c r="B318" s="1">
        <v>100002</v>
      </c>
      <c r="C318" s="1">
        <v>9</v>
      </c>
      <c r="D318" s="1">
        <v>22</v>
      </c>
      <c r="E318" s="1">
        <v>16</v>
      </c>
      <c r="F318" s="1">
        <v>39</v>
      </c>
    </row>
    <row r="319" spans="1:6" x14ac:dyDescent="0.3">
      <c r="A319" s="13">
        <v>44449</v>
      </c>
      <c r="B319" s="1">
        <v>100005</v>
      </c>
      <c r="C319" s="1">
        <v>11</v>
      </c>
      <c r="D319" s="1">
        <v>9</v>
      </c>
      <c r="E319" s="1">
        <v>18</v>
      </c>
      <c r="F319" s="1">
        <v>58</v>
      </c>
    </row>
    <row r="320" spans="1:6" x14ac:dyDescent="0.3">
      <c r="A320" s="13">
        <v>44449</v>
      </c>
      <c r="B320" s="1">
        <v>100010</v>
      </c>
      <c r="C320" s="1">
        <v>7</v>
      </c>
      <c r="D320" s="1">
        <v>55</v>
      </c>
      <c r="E320" s="1">
        <v>17</v>
      </c>
      <c r="F320" s="1">
        <v>35</v>
      </c>
    </row>
    <row r="321" spans="1:6" x14ac:dyDescent="0.3">
      <c r="A321" s="13">
        <v>44449</v>
      </c>
      <c r="B321" s="1">
        <v>100015</v>
      </c>
      <c r="C321" s="1">
        <v>10</v>
      </c>
      <c r="D321" s="1">
        <v>45</v>
      </c>
      <c r="E321" s="1">
        <v>16</v>
      </c>
      <c r="F321" s="1">
        <v>7</v>
      </c>
    </row>
    <row r="322" spans="1:6" x14ac:dyDescent="0.3">
      <c r="A322" s="13">
        <v>44449</v>
      </c>
      <c r="B322" s="1">
        <v>100014</v>
      </c>
      <c r="C322" s="1">
        <v>16</v>
      </c>
      <c r="D322" s="1">
        <v>53</v>
      </c>
      <c r="E322" s="1">
        <v>21</v>
      </c>
      <c r="F322" s="1">
        <v>13</v>
      </c>
    </row>
    <row r="323" spans="1:6" x14ac:dyDescent="0.3">
      <c r="A323" s="13">
        <v>44452</v>
      </c>
      <c r="B323" s="1">
        <v>100001</v>
      </c>
      <c r="C323" s="1"/>
      <c r="D323" s="1"/>
      <c r="E323" s="1"/>
      <c r="F323" s="1"/>
    </row>
    <row r="324" spans="1:6" x14ac:dyDescent="0.3">
      <c r="A324" s="13">
        <v>44452</v>
      </c>
      <c r="B324" s="1">
        <v>100005</v>
      </c>
      <c r="C324" s="1">
        <v>10</v>
      </c>
      <c r="D324" s="1">
        <v>54</v>
      </c>
      <c r="E324" s="1">
        <v>18</v>
      </c>
      <c r="F324" s="1">
        <v>4</v>
      </c>
    </row>
    <row r="325" spans="1:6" x14ac:dyDescent="0.3">
      <c r="A325" s="13">
        <v>44452</v>
      </c>
      <c r="B325" s="1">
        <v>100006</v>
      </c>
      <c r="C325" s="1">
        <v>9</v>
      </c>
      <c r="D325" s="1">
        <v>17</v>
      </c>
      <c r="E325" s="1">
        <v>17</v>
      </c>
      <c r="F325" s="1">
        <v>32</v>
      </c>
    </row>
    <row r="326" spans="1:6" x14ac:dyDescent="0.3">
      <c r="A326" s="13">
        <v>44452</v>
      </c>
      <c r="B326" s="1">
        <v>100010</v>
      </c>
      <c r="C326" s="1">
        <v>9</v>
      </c>
      <c r="D326" s="1">
        <v>18</v>
      </c>
      <c r="E326" s="1">
        <v>18</v>
      </c>
      <c r="F326" s="1">
        <v>3</v>
      </c>
    </row>
    <row r="327" spans="1:6" x14ac:dyDescent="0.3">
      <c r="A327" s="13">
        <v>44452</v>
      </c>
      <c r="B327" s="1">
        <v>100015</v>
      </c>
      <c r="C327" s="1"/>
      <c r="D327" s="1"/>
      <c r="E327" s="1"/>
      <c r="F327" s="1"/>
    </row>
    <row r="328" spans="1:6" x14ac:dyDescent="0.3">
      <c r="A328" s="13">
        <v>44452</v>
      </c>
      <c r="B328" s="1">
        <v>100003</v>
      </c>
      <c r="C328" s="1">
        <v>17</v>
      </c>
      <c r="D328" s="1">
        <v>42</v>
      </c>
      <c r="E328" s="1">
        <v>20</v>
      </c>
      <c r="F328" s="1">
        <v>20</v>
      </c>
    </row>
    <row r="329" spans="1:6" x14ac:dyDescent="0.3">
      <c r="A329" s="13">
        <v>44452</v>
      </c>
      <c r="B329" s="1">
        <v>100007</v>
      </c>
      <c r="C329" s="1">
        <v>12</v>
      </c>
      <c r="D329" s="1">
        <v>54</v>
      </c>
      <c r="E329" s="1">
        <v>21</v>
      </c>
      <c r="F329" s="1">
        <v>23</v>
      </c>
    </row>
    <row r="330" spans="1:6" x14ac:dyDescent="0.3">
      <c r="A330" s="12"/>
    </row>
    <row r="331" spans="1:6" x14ac:dyDescent="0.3">
      <c r="A331" s="12"/>
    </row>
    <row r="332" spans="1:6" x14ac:dyDescent="0.3">
      <c r="A332" s="12"/>
    </row>
    <row r="333" spans="1:6" x14ac:dyDescent="0.3">
      <c r="A333" s="12"/>
    </row>
    <row r="334" spans="1:6" x14ac:dyDescent="0.3">
      <c r="A334" s="12"/>
    </row>
    <row r="335" spans="1:6" x14ac:dyDescent="0.3">
      <c r="A335" s="12"/>
    </row>
    <row r="336" spans="1:6" x14ac:dyDescent="0.3">
      <c r="A336" s="12"/>
    </row>
    <row r="337" spans="1:1" x14ac:dyDescent="0.3">
      <c r="A337" s="12"/>
    </row>
    <row r="338" spans="1:1" x14ac:dyDescent="0.3">
      <c r="A338" s="12"/>
    </row>
    <row r="339" spans="1:1" x14ac:dyDescent="0.3">
      <c r="A339" s="12"/>
    </row>
    <row r="340" spans="1:1" x14ac:dyDescent="0.3">
      <c r="A340" s="12"/>
    </row>
    <row r="341" spans="1:1" x14ac:dyDescent="0.3">
      <c r="A341" s="12"/>
    </row>
    <row r="342" spans="1:1" x14ac:dyDescent="0.3">
      <c r="A342" s="12"/>
    </row>
    <row r="343" spans="1:1" x14ac:dyDescent="0.3">
      <c r="A343" s="12"/>
    </row>
    <row r="344" spans="1:1" x14ac:dyDescent="0.3">
      <c r="A344" s="12"/>
    </row>
    <row r="345" spans="1:1" x14ac:dyDescent="0.3">
      <c r="A345" s="12"/>
    </row>
    <row r="346" spans="1:1" x14ac:dyDescent="0.3">
      <c r="A346" s="12"/>
    </row>
    <row r="347" spans="1:1" x14ac:dyDescent="0.3">
      <c r="A347" s="12"/>
    </row>
    <row r="348" spans="1:1" x14ac:dyDescent="0.3">
      <c r="A348" s="12"/>
    </row>
    <row r="349" spans="1:1" x14ac:dyDescent="0.3">
      <c r="A349" s="12"/>
    </row>
    <row r="350" spans="1:1" x14ac:dyDescent="0.3">
      <c r="A350" s="12"/>
    </row>
    <row r="351" spans="1:1" x14ac:dyDescent="0.3">
      <c r="A351" s="12"/>
    </row>
    <row r="352" spans="1:1" x14ac:dyDescent="0.3">
      <c r="A352" s="12"/>
    </row>
    <row r="353" spans="1:1" x14ac:dyDescent="0.3">
      <c r="A353" s="12"/>
    </row>
    <row r="354" spans="1:1" x14ac:dyDescent="0.3">
      <c r="A354" s="12"/>
    </row>
    <row r="355" spans="1:1" x14ac:dyDescent="0.3">
      <c r="A355" s="12"/>
    </row>
    <row r="356" spans="1:1" x14ac:dyDescent="0.3">
      <c r="A356" s="12"/>
    </row>
    <row r="357" spans="1:1" x14ac:dyDescent="0.3">
      <c r="A357" s="12"/>
    </row>
  </sheetData>
  <sortState xmlns:xlrd2="http://schemas.microsoft.com/office/spreadsheetml/2017/richdata2" ref="A10:B16">
    <sortCondition ref="A10"/>
  </sortState>
  <mergeCells count="2">
    <mergeCell ref="A8:D8"/>
    <mergeCell ref="A25:D2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Task 1</vt:lpstr>
      <vt:lpstr>â</vt:lpstr>
      <vt:lpstr>daytimestaff</vt:lpstr>
      <vt:lpstr>è</vt:lpstr>
      <vt:lpstr>eveningstaff</vt:lpstr>
      <vt:lpstr>î</vt:lpstr>
      <vt:lpstr>ö</vt:lpstr>
      <vt:lpstr>Range1</vt:lpstr>
      <vt:lpstr>Range2</vt:lpstr>
      <vt:lpstr>Range3</vt:lpstr>
      <vt:lpstr>Range4</vt:lpstr>
      <vt:lpstr>times</vt:lpstr>
    </vt:vector>
  </TitlesOfParts>
  <Company>Monash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Rohan Fletcher</dc:creator>
  <cp:lastModifiedBy>Kashfa Mahmood</cp:lastModifiedBy>
  <dcterms:created xsi:type="dcterms:W3CDTF">2020-07-16T00:55:04Z</dcterms:created>
  <dcterms:modified xsi:type="dcterms:W3CDTF">2024-12-19T10:35:44Z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FC3540A">
    <vt:lpwstr>2021Semester2</vt:lpwstr>
  </property>
  <property fmtid="{D5CDD505-2E9C-101B-9397-08002B2CF9AE}" pid="3" name="BFC3540B">
    <vt:lpwstr/>
  </property>
  <property fmtid="{D5CDD505-2E9C-101B-9397-08002B2CF9AE}" pid="4" name="BFC3540C">
    <vt:lpwstr/>
  </property>
  <property fmtid="{D5CDD505-2E9C-101B-9397-08002B2CF9AE}" pid="5" name="BFC3540D">
    <vt:lpwstr/>
  </property>
  <property fmtid="{D5CDD505-2E9C-101B-9397-08002B2CF9AE}" pid="6" name="BFC3540E">
    <vt:lpwstr/>
  </property>
  <property fmtid="{D5CDD505-2E9C-101B-9397-08002B2CF9AE}" pid="7" name="BFC3540F">
    <vt:lpwstr>80560</vt:lpwstr>
  </property>
</Properties>
</file>